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4_Coding/hydrogenation/current_versions/"/>
    </mc:Choice>
  </mc:AlternateContent>
  <xr:revisionPtr revIDLastSave="2169" documentId="8_{3993B2AA-AA88-4273-8358-27EB43727B2D}" xr6:coauthVersionLast="47" xr6:coauthVersionMax="47" xr10:uidLastSave="{78BA6E45-6E0A-4E60-B4B7-211ED66D84F7}"/>
  <bookViews>
    <workbookView xWindow="-120" yWindow="-120" windowWidth="29040" windowHeight="17520" activeTab="3" xr2:uid="{B6CE98F9-D5FC-44F0-9C57-ABE9EC2C1CD8}"/>
  </bookViews>
  <sheets>
    <sheet name="Overview" sheetId="7" r:id="rId1"/>
    <sheet name="Other" sheetId="9" r:id="rId2"/>
    <sheet name="CaseStudy_Hydrogenation" sheetId="2" r:id="rId3"/>
    <sheet name="Context Hydrogenation" sheetId="15" r:id="rId4"/>
    <sheet name="CaseStudy_ZnO" sheetId="6" r:id="rId5"/>
    <sheet name="Entity_Templates" sheetId="13" r:id="rId6"/>
    <sheet name="Old templates" sheetId="11" r:id="rId7"/>
    <sheet name="Tasks DK" sheetId="10" r:id="rId8"/>
    <sheet name="Functions" sheetId="14" r:id="rId9"/>
    <sheet name="Ontologies" sheetId="8"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<sst xmlns="http://schemas.openxmlformats.org/spreadsheetml/2006/main" count="3893" uniqueCount="1683">
  <si>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</si>
  <si>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</si>
  <si>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</si>
  <si>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</si>
  <si>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</si>
  <si>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</si>
  <si>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</si>
  <si>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</si>
  <si>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</si>
  <si>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</si>
  <si>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</si>
  <si>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</si>
  <si>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</si>
  <si>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</si>
  <si>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</si>
  <si>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</si>
  <si>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</si>
  <si>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hasOperationMode</t>
  </si>
  <si>
    <t>fedbatch</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</si>
  <si>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</si>
  <si>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</si>
  <si>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</si>
  <si>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</si>
  <si>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</si>
  <si>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</si>
  <si>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</si>
  <si>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</si>
  <si>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</si>
  <si>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</si>
  <si>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</si>
  <si>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</si>
  <si>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</si>
  <si>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</si>
  <si>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</si>
  <si>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</si>
  <si>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</si>
  <si>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</si>
  <si>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</si>
  <si>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</si>
  <si>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</si>
  <si>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</si>
  <si>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</si>
  <si>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</si>
  <si>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</si>
  <si>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</si>
  <si>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</si>
  <si>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</si>
  <si>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</si>
  <si>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</si>
  <si>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</si>
  <si>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</si>
  <si>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</si>
  <si>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</si>
  <si>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</si>
  <si>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</si>
  <si>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</si>
  <si>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</si>
  <si>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</si>
  <si>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</si>
  <si>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</si>
  <si>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</si>
  <si>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</si>
  <si>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</si>
  <si>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</si>
  <si>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</si>
  <si>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</si>
  <si>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</si>
  <si>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</si>
  <si>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</si>
  <si>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</si>
  <si>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</si>
  <si>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</si>
  <si>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</si>
  <si>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</si>
  <si>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</si>
  <si>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</si>
  <si>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</si>
  <si>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</si>
  <si>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</si>
  <si>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</si>
  <si>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</si>
  <si>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</si>
  <si>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</si>
  <si>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</si>
  <si>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hasSensorList</t>
  </si>
  <si>
    <t>hasCleaningProcedure</t>
  </si>
  <si>
    <t>#ReactorSensorList</t>
  </si>
  <si>
    <t>#ReactorCleaningProcedure</t>
  </si>
  <si>
    <t>hasSetTemperatureProfile</t>
  </si>
  <si>
    <t>hydrogenation</t>
  </si>
  <si>
    <t>hasSetPressureProfile</t>
  </si>
  <si>
    <t>#ReactorTemperatureProfile</t>
  </si>
  <si>
    <t>#ReactorPressureProfile</t>
  </si>
  <si>
    <t>hasSequenceOfSteps</t>
  </si>
  <si>
    <t>#SequenceOfSteps</t>
  </si>
  <si>
    <t>hasVolumeUnit</t>
  </si>
  <si>
    <t>hasHeight</t>
  </si>
  <si>
    <t>hasHeightUnit</t>
  </si>
  <si>
    <t>hasDiameter</t>
  </si>
  <si>
    <t>hasDiameterUnit</t>
  </si>
  <si>
    <t>ml</t>
  </si>
  <si>
    <t>0.5</t>
  </si>
  <si>
    <t xml:space="preserve">m </t>
  </si>
  <si>
    <t>0.3</t>
  </si>
  <si>
    <t>m</t>
  </si>
  <si>
    <t>hasForm</t>
  </si>
  <si>
    <t>cylinder</t>
  </si>
  <si>
    <t>hasAspectRatioHeightToDiameter</t>
  </si>
  <si>
    <t>isMadeOfMaterial</t>
  </si>
  <si>
    <t>#ReactorMaterial</t>
  </si>
  <si>
    <t>stirrer</t>
  </si>
  <si>
    <t>#StirrerCleaningProcedure</t>
  </si>
  <si>
    <t>hasRotaionalSpeed</t>
  </si>
  <si>
    <t>hasAcceleration</t>
  </si>
  <si>
    <t>hasPowerInput</t>
  </si>
  <si>
    <t>hasStirringStartTime</t>
  </si>
  <si>
    <t>hasStirringEndTime</t>
  </si>
  <si>
    <t>hasVolume</t>
  </si>
  <si>
    <t>hasStirrerForm</t>
  </si>
  <si>
    <t>hasReactorForm</t>
  </si>
  <si>
    <t>anchor</t>
  </si>
  <si>
    <t>0.2</t>
  </si>
  <si>
    <t>#StirrerMaterial</t>
  </si>
  <si>
    <t>sparger</t>
  </si>
  <si>
    <t>#SpargerCleaningProcedure</t>
  </si>
  <si>
    <t>hasVolumeFlowrate</t>
  </si>
  <si>
    <t>sccm</t>
  </si>
  <si>
    <t>hasVolumeFlowrateUnit</t>
  </si>
  <si>
    <t>hasSetPressureInletFlow</t>
  </si>
  <si>
    <t>bar</t>
  </si>
  <si>
    <t>hasSetPressureInletFlowUnit</t>
  </si>
  <si>
    <t>hasSpargingStartTime</t>
  </si>
  <si>
    <t>hasSpargingEndTime</t>
  </si>
  <si>
    <t>hasLength</t>
  </si>
  <si>
    <t>hasLengthUnit</t>
  </si>
  <si>
    <t>0.7</t>
  </si>
  <si>
    <t>mm</t>
  </si>
  <si>
    <t>hasSpargerForm</t>
  </si>
  <si>
    <t>L-shaped</t>
  </si>
  <si>
    <t>#SpargerMaterial</t>
  </si>
  <si>
    <t>jacket</t>
  </si>
  <si>
    <t>hasSetJacketTemperature</t>
  </si>
  <si>
    <t>hasSetJacketPressure</t>
  </si>
  <si>
    <t>celsius</t>
  </si>
  <si>
    <t>hasSetJacketPressureUnit</t>
  </si>
  <si>
    <t>hasSetJacketTemperatureUnit</t>
  </si>
  <si>
    <t>lastCoolingFluidChange</t>
  </si>
  <si>
    <t>hasJacketForm</t>
  </si>
  <si>
    <t xml:space="preserve">hollow cylinder, 5 spiral wounds </t>
  </si>
  <si>
    <t>#JacketMaterial, #CoolingFluid</t>
  </si>
  <si>
    <t>ddmmyy-hhmmss</t>
  </si>
  <si>
    <t>time</t>
  </si>
  <si>
    <t>Devices</t>
  </si>
  <si>
    <t>Phases</t>
  </si>
  <si>
    <t>gas phase</t>
  </si>
  <si>
    <t>dispersed gas phase</t>
  </si>
  <si>
    <t>gas</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</si>
  <si>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</si>
  <si>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</si>
  <si>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</si>
  <si>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</si>
  <si>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</si>
  <si>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</si>
  <si>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</si>
  <si>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</si>
  <si>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</si>
  <si>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</si>
  <si>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heterogeneous</t>
  </si>
  <si>
    <t>hasContinousPhase</t>
  </si>
  <si>
    <t>hasDispersedPhase</t>
  </si>
  <si>
    <t>#DispersedPhaseGas, #DispersedPhaseSolid</t>
  </si>
  <si>
    <t>preparationTime</t>
  </si>
  <si>
    <t>lastUsedDuration</t>
  </si>
  <si>
    <t>amountAdded</t>
  </si>
  <si>
    <t>amountAddedUnit</t>
  </si>
  <si>
    <t>m3</t>
  </si>
  <si>
    <t>consistsOf</t>
  </si>
  <si>
    <t>hasWaterConcentration</t>
  </si>
  <si>
    <t>hasSolventConcentration</t>
  </si>
  <si>
    <t>hasH2Concentration</t>
  </si>
  <si>
    <t>hasRDYConcentration</t>
  </si>
  <si>
    <t>hasXXUnit</t>
  </si>
  <si>
    <t>mol/l</t>
  </si>
  <si>
    <t>homogeneous, heterogeneous</t>
  </si>
  <si>
    <t>solid, liquid, gas</t>
  </si>
  <si>
    <t>solid, liquid, gas, none (if none: homogeneous)</t>
  </si>
  <si>
    <t>phase</t>
  </si>
  <si>
    <t>solid phase</t>
  </si>
  <si>
    <t>homogeneous</t>
  </si>
  <si>
    <t>none</t>
  </si>
  <si>
    <t>ddmmyy - hhmm</t>
  </si>
  <si>
    <t>particleSizeDistribution</t>
  </si>
  <si>
    <t>#ParticleSizeDistributionSolidPhase</t>
  </si>
  <si>
    <t>pellets</t>
  </si>
  <si>
    <t>#RDY</t>
  </si>
  <si>
    <t>hasMass</t>
  </si>
  <si>
    <t>hasMassUnit</t>
  </si>
  <si>
    <t>g</t>
  </si>
  <si>
    <t>hasRDYConcentrationUnit</t>
  </si>
  <si>
    <t>mol/g</t>
  </si>
  <si>
    <t>catalyst phase</t>
  </si>
  <si>
    <t>non-woven Mesh</t>
  </si>
  <si>
    <t>hasPhaseStructure</t>
  </si>
  <si>
    <t>crystallized</t>
  </si>
  <si>
    <t>hasDurationUnit</t>
  </si>
  <si>
    <t xml:space="preserve">h </t>
  </si>
  <si>
    <t>consisteOf</t>
  </si>
  <si>
    <t>#Catalyst</t>
  </si>
  <si>
    <t>hasCatalystConcentration</t>
  </si>
  <si>
    <t>hasCatalystConcentrationUnit</t>
  </si>
  <si>
    <t>cm3</t>
  </si>
  <si>
    <t>hasSurfaceAreaWithLiquidPhase</t>
  </si>
  <si>
    <t>hasAreaUnit</t>
  </si>
  <si>
    <t>cm2</t>
  </si>
  <si>
    <t>hasSurfaceAreaWithGasPhase</t>
  </si>
  <si>
    <t>#H2</t>
  </si>
  <si>
    <t>hasParticleSizeDIstributionSolid</t>
  </si>
  <si>
    <t>ContinuousPhaseConsistsOf</t>
  </si>
  <si>
    <t>DispersedGasPhaseConsistsOf</t>
  </si>
  <si>
    <t>DispersedSolidPhaseConsistsOf</t>
  </si>
  <si>
    <t>#Water, #Solvent</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</si>
  <si>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</si>
  <si>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</si>
  <si>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</si>
  <si>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</si>
  <si>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</si>
  <si>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</si>
  <si>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</si>
  <si>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</si>
  <si>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</si>
  <si>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</si>
  <si>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</si>
  <si>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</si>
  <si>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</si>
  <si>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</si>
  <si>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</si>
  <si>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</si>
  <si>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</si>
  <si>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</si>
  <si>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</si>
  <si>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</si>
  <si>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</si>
  <si>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</si>
  <si>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</si>
  <si>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</si>
  <si>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</si>
  <si>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</si>
  <si>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</si>
  <si>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</si>
  <si>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</si>
  <si>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</si>
  <si>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</si>
  <si>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</si>
  <si>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</si>
  <si>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</si>
  <si>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</si>
  <si>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</si>
  <si>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</si>
  <si>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</si>
  <si>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</si>
  <si>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</si>
  <si>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</si>
  <si>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</si>
  <si>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</si>
  <si>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</si>
  <si>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</si>
  <si>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</si>
  <si>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</si>
  <si>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</si>
  <si>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</si>
  <si>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</si>
  <si>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</si>
  <si>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</si>
  <si>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</si>
  <si>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</si>
  <si>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</si>
  <si>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</si>
  <si>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</si>
  <si>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hasEntropyUnit</t>
  </si>
  <si>
    <t>(homogeneous)</t>
  </si>
  <si>
    <t>(heterogeneous)</t>
  </si>
  <si>
    <t>If we have a heterogeneous phase, do we want to include all parts in one phase or rather do hetPhase hasdispersedPhase #DispPhase1, #DispersedPhase2</t>
  </si>
  <si>
    <t>(gas, liquid, solid)</t>
  </si>
  <si>
    <t>hasSmiles</t>
  </si>
  <si>
    <t>hasInchi</t>
  </si>
  <si>
    <t>hasCAS</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</si>
  <si>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</si>
  <si>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</si>
  <si>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</si>
  <si>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</si>
  <si>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</si>
  <si>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</si>
  <si>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</si>
  <si>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</si>
  <si>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</si>
  <si>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</si>
  <si>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</si>
  <si>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</si>
  <si>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</si>
  <si>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</si>
  <si>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</si>
  <si>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</si>
  <si>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</si>
  <si>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</si>
  <si>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</si>
  <si>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</si>
  <si>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</si>
  <si>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</si>
  <si>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</si>
  <si>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</si>
  <si>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</si>
  <si>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</si>
  <si>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</si>
  <si>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</si>
  <si>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</si>
  <si>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</si>
  <si>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</si>
  <si>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</si>
  <si>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</si>
  <si>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</si>
  <si>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</si>
  <si>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</si>
  <si>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</si>
  <si>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</si>
  <si>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</si>
  <si>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</si>
  <si>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</si>
  <si>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</si>
  <si>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</si>
  <si>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</si>
  <si>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</si>
  <si>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</si>
  <si>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</si>
  <si>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</si>
  <si>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</si>
  <si>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</si>
  <si>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</si>
  <si>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</si>
  <si>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</si>
  <si>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</si>
  <si>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</si>
  <si>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</si>
  <si>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</si>
  <si>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</si>
  <si>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</si>
  <si>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</si>
  <si>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</si>
  <si>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</si>
  <si>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</si>
  <si>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</si>
  <si>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</si>
  <si>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</si>
  <si>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</si>
  <si>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</si>
  <si>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</si>
  <si>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</si>
  <si>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</si>
  <si>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</si>
  <si>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</si>
  <si>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</si>
  <si>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</si>
  <si>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</si>
  <si>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</si>
  <si>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</si>
  <si>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</si>
  <si>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</si>
  <si>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</si>
  <si>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</si>
  <si>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</si>
  <si>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</si>
  <si>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</si>
  <si>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</si>
  <si>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</si>
  <si>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</si>
  <si>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</si>
  <si>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</si>
  <si>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</si>
  <si>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</si>
  <si>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</si>
  <si>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</si>
  <si>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</si>
  <si>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</si>
  <si>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</si>
  <si>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</si>
  <si>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</si>
  <si>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</si>
  <si>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</si>
  <si>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</si>
  <si>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</si>
  <si>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</si>
  <si>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</si>
  <si>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</si>
  <si>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</si>
  <si>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</si>
  <si>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</si>
  <si>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</si>
  <si>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</si>
  <si>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</si>
  <si>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</si>
  <si>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</si>
  <si>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</si>
  <si>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</si>
  <si>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</si>
  <si>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</si>
  <si>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</si>
  <si>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</si>
  <si>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</si>
  <si>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</si>
  <si>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</si>
  <si>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</si>
  <si>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</si>
  <si>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</si>
  <si>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</si>
  <si>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</si>
  <si>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</si>
  <si>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</si>
  <si>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</si>
  <si>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</si>
  <si>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</si>
  <si>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</si>
  <si>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</si>
  <si>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</si>
  <si>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</si>
  <si>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</si>
  <si>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</si>
  <si>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</si>
  <si>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</si>
  <si>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</si>
  <si>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</si>
  <si>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</si>
  <si>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</si>
  <si>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</si>
  <si>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</si>
  <si>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</si>
  <si>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</si>
  <si>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</si>
  <si>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</si>
  <si>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</si>
  <si>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</si>
  <si>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</si>
  <si>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</si>
  <si>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</si>
  <si>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</si>
  <si>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</si>
  <si>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</si>
  <si>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</si>
  <si>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</si>
  <si>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</si>
  <si>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</si>
  <si>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</si>
  <si>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</si>
  <si>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</si>
  <si>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</si>
  <si>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</si>
  <si>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</si>
  <si>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</si>
  <si>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</si>
  <si>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</si>
  <si>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</si>
  <si>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</si>
  <si>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</si>
  <si>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</si>
  <si>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</si>
  <si>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</si>
  <si>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</si>
  <si>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</si>
  <si>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</si>
  <si>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</si>
  <si>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</si>
  <si>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</si>
  <si>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</si>
  <si>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</si>
  <si>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</si>
  <si>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</si>
  <si>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</si>
  <si>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</si>
  <si>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</si>
  <si>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</si>
  <si>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</si>
  <si>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</si>
  <si>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</si>
  <si>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</si>
  <si>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</si>
  <si>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</si>
  <si>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</si>
  <si>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</si>
  <si>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</si>
  <si>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</si>
  <si>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</si>
  <si>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hasBubbleSizeDistiution</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</si>
  <si>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</si>
  <si>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</si>
  <si>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</si>
  <si>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</si>
  <si>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</si>
  <si>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</si>
  <si>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</si>
  <si>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</si>
  <si>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</si>
  <si>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</si>
  <si>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</si>
  <si>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</si>
  <si>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</si>
  <si>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</si>
  <si>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</si>
  <si>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</si>
  <si>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</si>
  <si>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</si>
  <si>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</si>
  <si>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</si>
  <si>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</si>
  <si>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</si>
  <si>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</si>
  <si>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</si>
  <si>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</si>
  <si>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</si>
  <si>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</si>
  <si>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</si>
  <si>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</si>
  <si>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</si>
  <si>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</si>
  <si>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</si>
  <si>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</si>
  <si>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</si>
  <si>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</si>
  <si>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</si>
  <si>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</si>
  <si>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</si>
  <si>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</si>
  <si>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</si>
  <si>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</si>
  <si>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</si>
  <si>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</si>
  <si>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</si>
  <si>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</si>
  <si>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</si>
  <si>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</si>
  <si>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</si>
  <si>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</si>
  <si>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</si>
  <si>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</si>
  <si>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</si>
  <si>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</si>
  <si>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</si>
  <si>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</si>
  <si>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</si>
  <si>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</si>
  <si>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</si>
  <si>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</si>
  <si>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</si>
  <si>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</si>
  <si>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</si>
  <si>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</si>
  <si>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</si>
  <si>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</si>
  <si>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</si>
  <si>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</si>
  <si>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</si>
  <si>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</si>
  <si>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</si>
  <si>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</si>
  <si>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</si>
  <si>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</si>
  <si>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</si>
  <si>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</si>
  <si>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</si>
  <si>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</si>
  <si>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</si>
  <si>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</si>
  <si>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</si>
  <si>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</si>
  <si>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</si>
  <si>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</si>
  <si>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</si>
  <si>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</si>
  <si>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</si>
  <si>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</si>
  <si>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</si>
  <si>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</si>
  <si>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</si>
  <si>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</si>
  <si>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</si>
  <si>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</si>
  <si>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</si>
  <si>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</si>
  <si>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</si>
  <si>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</si>
  <si>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</si>
  <si>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</si>
  <si>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</si>
  <si>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</si>
  <si>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</si>
  <si>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</si>
  <si>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</si>
  <si>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</si>
  <si>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</si>
  <si>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</si>
  <si>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</si>
  <si>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</si>
  <si>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</si>
  <si>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</si>
  <si>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</si>
  <si>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</si>
  <si>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</si>
  <si>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</si>
  <si>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</si>
  <si>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</si>
  <si>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</si>
  <si>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</si>
  <si>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</si>
  <si>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</si>
  <si>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</si>
  <si>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</si>
  <si>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</si>
  <si>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</si>
  <si>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</si>
  <si>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</si>
  <si>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</si>
  <si>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</si>
  <si>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</si>
  <si>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</si>
  <si>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</si>
  <si>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</si>
  <si>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</si>
  <si>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</si>
  <si>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</si>
  <si>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</si>
  <si>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</si>
  <si>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</si>
  <si>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</si>
  <si>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</si>
  <si>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</si>
  <si>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</si>
  <si>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</si>
  <si>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</si>
  <si>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</si>
  <si>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</si>
  <si>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</si>
  <si>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</si>
  <si>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</si>
  <si>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</si>
  <si>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</si>
  <si>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</si>
  <si>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</si>
  <si>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</si>
  <si>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</si>
  <si>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</si>
  <si>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</si>
  <si>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</si>
  <si>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</si>
  <si>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</si>
  <si>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</si>
  <si>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</si>
  <si>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</si>
  <si>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</si>
  <si>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</si>
  <si>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</si>
  <si>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</si>
  <si>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</si>
  <si>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</si>
  <si>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</si>
  <si>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</si>
  <si>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</si>
  <si>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</si>
  <si>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</si>
  <si>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</si>
  <si>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</si>
  <si>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</si>
  <si>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</si>
  <si>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</si>
  <si>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</si>
  <si>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</si>
  <si>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</si>
  <si>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</si>
  <si>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</si>
  <si>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</si>
  <si>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</si>
  <si>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</si>
  <si>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</si>
  <si>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</si>
  <si>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</si>
  <si>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</si>
  <si>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</si>
  <si>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</si>
  <si>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</si>
  <si>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</si>
  <si>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</si>
  <si>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</si>
  <si>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</si>
  <si>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</si>
  <si>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</si>
  <si>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</si>
  <si>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</si>
  <si>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</si>
  <si>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</si>
  <si>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</si>
  <si>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</si>
  <si>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</si>
  <si>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</si>
  <si>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</si>
  <si>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</si>
  <si>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</si>
  <si>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</si>
  <si>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</si>
  <si>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</si>
  <si>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</si>
  <si>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</si>
  <si>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</si>
  <si>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</si>
  <si>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</si>
  <si>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</si>
  <si>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</si>
  <si>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</si>
  <si>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</si>
  <si>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</si>
  <si>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</si>
  <si>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</si>
  <si>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</si>
  <si>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</si>
  <si>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</si>
  <si>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</si>
  <si>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</si>
  <si>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</si>
  <si>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</si>
  <si>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</si>
  <si>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</si>
  <si>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</si>
  <si>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</si>
  <si>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</si>
  <si>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</si>
  <si>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</si>
  <si>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</si>
  <si>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</si>
  <si>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</si>
  <si>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</si>
  <si>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</si>
  <si>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</si>
  <si>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</si>
  <si>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</si>
  <si>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</si>
  <si>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</si>
  <si>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</si>
  <si>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</si>
  <si>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</si>
  <si>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</si>
  <si>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</si>
  <si>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</si>
  <si>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</si>
  <si>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</si>
  <si>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</si>
  <si>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</si>
  <si>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</si>
  <si>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</si>
  <si>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</si>
  <si>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</si>
  <si>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</si>
  <si>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</si>
  <si>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</si>
  <si>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</si>
  <si>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</si>
  <si>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</si>
  <si>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</si>
  <si>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</si>
  <si>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</si>
  <si>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</si>
  <si>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</si>
  <si>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</si>
  <si>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</si>
  <si>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</si>
  <si>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</si>
  <si>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</si>
  <si>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</si>
  <si>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</si>
  <si>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</si>
  <si>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</si>
  <si>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</si>
  <si>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</si>
  <si>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</si>
  <si>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</si>
  <si>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</si>
  <si>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</si>
  <si>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</si>
  <si>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</si>
  <si>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</si>
  <si>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</si>
  <si>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</si>
  <si>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</si>
  <si>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</si>
  <si>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</si>
  <si>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</si>
  <si>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</si>
  <si>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</si>
  <si>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</si>
  <si>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</si>
  <si>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</si>
  <si>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</si>
  <si>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</si>
  <si>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</si>
  <si>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</si>
  <si>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</si>
  <si>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</si>
  <si>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</si>
  <si>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</si>
  <si>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</si>
  <si>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</si>
  <si>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</si>
  <si>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</si>
  <si>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</si>
  <si>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</si>
  <si>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</si>
  <si>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</si>
  <si>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</si>
  <si>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</si>
  <si>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</si>
  <si>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</si>
  <si>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</si>
  <si>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</si>
  <si>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</si>
  <si>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</si>
  <si>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</si>
  <si>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</si>
  <si>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</si>
  <si>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</si>
  <si>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</si>
  <si>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</si>
  <si>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</si>
  <si>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</si>
  <si>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</si>
  <si>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</si>
  <si>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</si>
  <si>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</si>
  <si>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</si>
  <si>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</si>
  <si>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</si>
  <si>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</si>
  <si>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</si>
  <si>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</si>
  <si>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</si>
  <si>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</si>
  <si>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</si>
  <si>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</si>
  <si>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</si>
  <si>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</si>
  <si>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</si>
  <si>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</si>
  <si>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</si>
  <si>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</si>
  <si>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</si>
  <si>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</si>
  <si>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</si>
  <si>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</si>
  <si>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</si>
  <si>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</si>
  <si>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</si>
  <si>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</si>
  <si>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</si>
  <si>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</si>
  <si>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</si>
  <si>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</si>
  <si>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</si>
  <si>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</si>
  <si>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</si>
  <si>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</si>
  <si>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</si>
  <si>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</si>
  <si>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</si>
  <si>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</si>
  <si>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</si>
  <si>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</si>
  <si>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</si>
  <si>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</si>
  <si>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</si>
  <si>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</si>
  <si>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</si>
  <si>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</si>
  <si>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</si>
  <si>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</si>
  <si>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</si>
  <si>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</si>
  <si>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</si>
  <si>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</si>
  <si>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</si>
  <si>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</si>
  <si>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</si>
  <si>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</si>
  <si>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</si>
  <si>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</si>
  <si>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</si>
  <si>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</si>
  <si>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</si>
  <si>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50 rpm</t>
  </si>
  <si>
    <t>0.5 m/s2</t>
  </si>
  <si>
    <t>500 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</si>
  <si>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</si>
  <si>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</si>
  <si>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</si>
  <si>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</si>
  <si>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</si>
  <si>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</si>
  <si>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</si>
  <si>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</si>
  <si>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</si>
  <si>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</si>
  <si>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</si>
  <si>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</si>
  <si>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</si>
  <si>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</si>
  <si>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</si>
  <si>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</si>
  <si>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</si>
  <si>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</si>
  <si>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</si>
  <si>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</si>
  <si>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</si>
  <si>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</si>
  <si>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</si>
  <si>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</si>
  <si>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</si>
  <si>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</si>
  <si>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</si>
  <si>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</si>
  <si>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</si>
  <si>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</si>
  <si>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</si>
  <si>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</si>
  <si>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</si>
  <si>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</si>
  <si>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</si>
  <si>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</si>
  <si>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</si>
  <si>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</si>
  <si>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</si>
  <si>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</si>
  <si>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</si>
  <si>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</si>
  <si>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</si>
  <si>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</si>
  <si>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</si>
  <si>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</si>
  <si>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</si>
  <si>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</si>
  <si>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</si>
  <si>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</si>
  <si>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</si>
  <si>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</si>
  <si>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</si>
  <si>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</si>
  <si>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</si>
  <si>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</si>
  <si>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</si>
  <si>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</si>
  <si>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</si>
  <si>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</si>
  <si>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</si>
  <si>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</si>
  <si>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</si>
  <si>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</si>
  <si>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</si>
  <si>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</si>
  <si>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</si>
  <si>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</si>
  <si>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</si>
  <si>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</si>
  <si>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</si>
  <si>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</si>
  <si>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</si>
  <si>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</si>
  <si>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</si>
  <si>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</si>
  <si>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</si>
  <si>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</si>
  <si>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</si>
  <si>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</si>
  <si>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</si>
  <si>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</si>
  <si>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</si>
  <si>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</si>
  <si>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</si>
  <si>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</si>
  <si>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</si>
  <si>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</si>
  <si>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</si>
  <si>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</si>
  <si>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</si>
  <si>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</si>
  <si>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</si>
  <si>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</si>
  <si>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</si>
  <si>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</si>
  <si>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</si>
  <si>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</si>
  <si>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</si>
  <si>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</si>
  <si>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</si>
  <si>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</si>
  <si>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</si>
  <si>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</si>
  <si>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</si>
  <si>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</si>
  <si>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</si>
  <si>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</si>
  <si>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</si>
  <si>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</si>
  <si>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</si>
  <si>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</si>
  <si>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</si>
  <si>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</si>
  <si>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</si>
  <si>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</si>
  <si>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</si>
  <si>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</si>
  <si>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</si>
  <si>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</si>
  <si>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</si>
  <si>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</si>
  <si>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</si>
  <si>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</si>
  <si>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</si>
  <si>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</si>
  <si>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</si>
  <si>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</si>
  <si>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</si>
  <si>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</si>
  <si>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</si>
  <si>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</si>
  <si>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</si>
  <si>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</si>
  <si>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</si>
  <si>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</si>
  <si>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</si>
  <si>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</si>
  <si>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</si>
  <si>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</si>
  <si>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</si>
  <si>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</si>
  <si>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</si>
  <si>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</si>
  <si>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</si>
  <si>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</si>
  <si>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</si>
  <si>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</si>
  <si>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</si>
  <si>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</si>
  <si>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</si>
  <si>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</si>
  <si>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</si>
  <si>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</si>
  <si>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</si>
  <si>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</si>
  <si>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</si>
  <si>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</si>
  <si>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</si>
  <si>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</si>
  <si>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</si>
  <si>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</si>
  <si>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</si>
  <si>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</si>
  <si>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</si>
  <si>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</si>
  <si>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</si>
  <si>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</si>
  <si>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</si>
  <si>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</si>
  <si>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</si>
  <si>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</si>
  <si>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</si>
  <si>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</si>
  <si>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</si>
  <si>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</si>
  <si>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</si>
  <si>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</si>
  <si>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</si>
  <si>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</si>
  <si>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</si>
  <si>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</si>
  <si>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</si>
  <si>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</si>
  <si>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</si>
  <si>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</si>
  <si>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</si>
  <si>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</si>
  <si>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</si>
  <si>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</si>
  <si>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</si>
  <si>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</si>
  <si>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</si>
  <si>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</si>
  <si>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</si>
  <si>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</si>
  <si>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</si>
  <si>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</si>
  <si>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</si>
  <si>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</si>
  <si>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</si>
  <si>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</si>
  <si>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</si>
  <si>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</si>
  <si>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</si>
  <si>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</si>
  <si>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</si>
  <si>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</si>
  <si>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</si>
  <si>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</si>
  <si>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</si>
  <si>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</si>
  <si>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</si>
  <si>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</si>
  <si>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</si>
  <si>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</si>
  <si>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</si>
  <si>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</si>
  <si>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</si>
  <si>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</si>
  <si>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</si>
  <si>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</si>
  <si>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</si>
  <si>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</si>
  <si>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</si>
  <si>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</si>
  <si>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</si>
  <si>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</si>
  <si>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</si>
  <si>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</si>
  <si>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</si>
  <si>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</si>
  <si>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</si>
  <si>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</si>
  <si>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</si>
  <si>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</si>
  <si>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</si>
  <si>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</si>
  <si>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</si>
  <si>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</si>
  <si>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</si>
  <si>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</si>
  <si>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</si>
  <si>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</si>
  <si>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</si>
  <si>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</si>
  <si>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</si>
  <si>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</si>
  <si>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</si>
  <si>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</si>
  <si>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</si>
  <si>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</si>
  <si>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</si>
  <si>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</si>
  <si>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</si>
  <si>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</si>
  <si>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</si>
  <si>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</si>
  <si>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</si>
  <si>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</si>
  <si>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</si>
  <si>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</si>
  <si>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</si>
  <si>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</si>
  <si>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</si>
  <si>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</si>
  <si>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</si>
  <si>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</si>
  <si>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</si>
  <si>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</si>
  <si>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</si>
  <si>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</si>
  <si>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</si>
  <si>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</si>
  <si>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</si>
  <si>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</si>
  <si>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</si>
  <si>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</si>
  <si>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</si>
  <si>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</si>
  <si>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</si>
  <si>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</si>
  <si>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</si>
  <si>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</si>
  <si>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</si>
  <si>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</si>
  <si>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</si>
  <si>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</si>
  <si>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</si>
  <si>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</si>
  <si>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</si>
  <si>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</si>
  <si>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</si>
  <si>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</si>
  <si>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</si>
  <si>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</si>
  <si>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</si>
  <si>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</si>
  <si>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</si>
  <si>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</si>
  <si>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</si>
  <si>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</si>
  <si>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</si>
  <si>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</si>
  <si>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</si>
  <si>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</si>
  <si>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</si>
  <si>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</si>
  <si>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</si>
  <si>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</si>
  <si>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</si>
  <si>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</si>
  <si>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</si>
  <si>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</si>
  <si>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</si>
  <si>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</si>
  <si>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</si>
  <si>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</si>
  <si>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</si>
  <si>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</si>
  <si>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</si>
  <si>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</si>
  <si>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</si>
  <si>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</si>
  <si>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</si>
  <si>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</si>
  <si>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</si>
  <si>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</si>
  <si>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</si>
  <si>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</si>
  <si>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</si>
  <si>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</si>
  <si>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</si>
  <si>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</si>
  <si>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</si>
  <si>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</si>
  <si>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</si>
  <si>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</si>
  <si>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</si>
  <si>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</si>
  <si>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</si>
  <si>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</si>
  <si>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</si>
  <si>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</si>
  <si>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</si>
  <si>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</si>
  <si>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</si>
  <si>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</si>
  <si>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</si>
  <si>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</si>
  <si>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</si>
  <si>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</si>
  <si>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</si>
  <si>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</si>
  <si>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</si>
  <si>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</si>
  <si>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</si>
  <si>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</si>
  <si>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</si>
  <si>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</si>
  <si>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</si>
  <si>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</si>
  <si>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</si>
  <si>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</si>
  <si>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</si>
  <si>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</si>
  <si>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</si>
  <si>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</si>
  <si>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</si>
  <si>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</si>
  <si>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</si>
  <si>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</si>
  <si>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</si>
  <si>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</si>
  <si>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</si>
  <si>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</si>
  <si>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</si>
  <si>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</si>
  <si>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</si>
  <si>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</si>
  <si>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</si>
  <si>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</si>
  <si>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</si>
  <si>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</si>
  <si>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</si>
  <si>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</si>
  <si>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</si>
  <si>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</si>
  <si>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</si>
  <si>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</si>
  <si>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</si>
  <si>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</si>
  <si>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</si>
  <si>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</si>
  <si>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</si>
  <si>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</si>
  <si>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</si>
  <si>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</si>
  <si>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</si>
  <si>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</si>
  <si>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</si>
  <si>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</si>
  <si>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</si>
  <si>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</si>
  <si>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</si>
  <si>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</si>
  <si>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</si>
  <si>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</si>
  <si>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</si>
  <si>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</si>
  <si>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</si>
  <si>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</si>
  <si>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</si>
  <si>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</si>
  <si>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</si>
  <si>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</si>
  <si>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</si>
  <si>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</si>
  <si>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</si>
  <si>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</si>
  <si>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</si>
  <si>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</si>
  <si>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</si>
  <si>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</si>
  <si>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</si>
  <si>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</si>
  <si>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</si>
  <si>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</si>
  <si>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</si>
  <si>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</si>
  <si>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</si>
  <si>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</si>
  <si>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</si>
  <si>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</si>
  <si>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</si>
  <si>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</si>
  <si>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</si>
  <si>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</si>
  <si>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</si>
  <si>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</si>
  <si>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</si>
  <si>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</si>
  <si>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</si>
  <si>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</si>
  <si>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</si>
  <si>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</si>
  <si>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</si>
  <si>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</si>
  <si>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</si>
  <si>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</si>
  <si>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</si>
  <si>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</si>
  <si>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</si>
  <si>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</si>
  <si>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</si>
  <si>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</si>
  <si>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</si>
  <si>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</si>
  <si>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</si>
  <si>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</si>
  <si>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</si>
  <si>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</si>
  <si>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</si>
  <si>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</si>
  <si>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</si>
  <si>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</si>
  <si>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</si>
  <si>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</si>
  <si>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</si>
  <si>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</si>
  <si>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</si>
  <si>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</si>
  <si>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</si>
  <si>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</si>
  <si>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</si>
  <si>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</si>
  <si>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</si>
  <si>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</si>
  <si>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</si>
  <si>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</si>
  <si>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</si>
  <si>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</si>
  <si>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</si>
  <si>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</si>
  <si>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</si>
  <si>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</si>
  <si>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</si>
  <si>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</si>
  <si>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</si>
  <si>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</si>
  <si>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</si>
  <si>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</si>
  <si>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</si>
  <si>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</si>
  <si>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</si>
  <si>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</si>
  <si>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</si>
  <si>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</si>
  <si>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</si>
  <si>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</si>
  <si>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</si>
  <si>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</si>
  <si>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</si>
  <si>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</si>
  <si>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</si>
  <si>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</si>
  <si>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</si>
  <si>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</si>
  <si>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</si>
  <si>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</si>
  <si>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</si>
  <si>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</si>
  <si>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</si>
  <si>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</si>
  <si>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</si>
  <si>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</si>
  <si>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</si>
  <si>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</si>
  <si>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</si>
  <si>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</si>
  <si>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</si>
  <si>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</si>
  <si>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</si>
  <si>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</si>
  <si>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</si>
  <si>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</si>
  <si>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</si>
  <si>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</si>
  <si>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</si>
  <si>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</si>
  <si>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</si>
  <si>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</si>
  <si>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</si>
  <si>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</si>
  <si>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</si>
  <si>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</si>
  <si>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</si>
  <si>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</si>
  <si>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</si>
  <si>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</si>
  <si>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</si>
  <si>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</si>
  <si>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</si>
  <si>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</si>
  <si>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</si>
  <si>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</si>
  <si>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</si>
  <si>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</si>
  <si>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</si>
  <si>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</si>
  <si>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</si>
  <si>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</si>
  <si>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</si>
  <si>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</si>
  <si>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</si>
  <si>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</si>
  <si>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</si>
  <si>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</si>
  <si>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</si>
  <si>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</si>
  <si>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</si>
  <si>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</si>
  <si>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</si>
  <si>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</si>
  <si>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</si>
  <si>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</si>
  <si>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</si>
  <si>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</si>
  <si>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</si>
  <si>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</si>
  <si>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</si>
  <si>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</si>
  <si>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</si>
  <si>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</si>
  <si>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</si>
  <si>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</si>
  <si>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</si>
  <si>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</si>
  <si>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</si>
  <si>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</si>
  <si>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</si>
  <si>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</si>
  <si>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</si>
  <si>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</si>
  <si>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</si>
  <si>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</si>
  <si>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</si>
  <si>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</si>
  <si>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</si>
  <si>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</si>
  <si>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</si>
  <si>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</si>
  <si>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</si>
  <si>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</si>
  <si>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</si>
  <si>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</si>
  <si>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</si>
  <si>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</si>
  <si>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</si>
  <si>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</si>
  <si>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</si>
  <si>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</si>
  <si>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</si>
  <si>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</si>
  <si>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</si>
  <si>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</si>
  <si>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</si>
  <si>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</si>
  <si>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</si>
  <si>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</si>
  <si>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</si>
  <si>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</si>
  <si>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</si>
  <si>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</si>
  <si>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</si>
  <si>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</si>
  <si>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</si>
  <si>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</si>
  <si>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</si>
  <si>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</si>
  <si>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</si>
  <si>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</si>
  <si>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</si>
  <si>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</si>
  <si>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</si>
  <si>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</si>
  <si>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</si>
  <si>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</si>
  <si>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</si>
  <si>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</si>
  <si>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</si>
  <si>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</si>
  <si>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</si>
  <si>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</si>
  <si>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</si>
  <si>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</si>
  <si>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</si>
  <si>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</si>
  <si>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</si>
  <si>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</si>
  <si>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</si>
  <si>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</si>
  <si>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</si>
  <si>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</si>
  <si>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</si>
  <si>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</si>
  <si>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</si>
  <si>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</si>
  <si>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</si>
  <si>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</si>
  <si>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</si>
  <si>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</si>
  <si>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</si>
  <si>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</si>
  <si>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</si>
  <si>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</si>
  <si>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</si>
  <si>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</si>
  <si>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</si>
  <si>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</si>
  <si>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</si>
  <si>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</si>
  <si>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</si>
  <si>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</si>
  <si>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</si>
  <si>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</si>
  <si>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</si>
  <si>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</si>
  <si>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</si>
  <si>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</si>
  <si>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</si>
  <si>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</si>
  <si>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</si>
  <si>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</si>
  <si>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</si>
  <si>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</si>
  <si>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</si>
  <si>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</si>
  <si>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</si>
  <si>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</si>
  <si>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</si>
  <si>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</si>
  <si>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</si>
  <si>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</si>
  <si>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</si>
  <si>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</si>
  <si>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</si>
  <si>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</si>
  <si>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</si>
  <si>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</si>
  <si>
    <t>übertragbar auf scpecific?</t>
  </si>
  <si>
    <t>describes Context</t>
  </si>
  <si>
    <t>MoleculeContext, Phase Context</t>
  </si>
  <si>
    <t>Allgemein</t>
  </si>
  <si>
    <t>Reaction1</t>
  </si>
  <si>
    <t>x</t>
  </si>
  <si>
    <t>?</t>
  </si>
  <si>
    <t>Participant</t>
  </si>
  <si>
    <t>Time?</t>
  </si>
  <si>
    <t>Time? Substance</t>
  </si>
  <si>
    <t>no</t>
  </si>
  <si>
    <t>Device Energy</t>
  </si>
  <si>
    <t>of Entity</t>
  </si>
  <si>
    <t>LiquidPhase, SolidPhase</t>
  </si>
  <si>
    <t>Space, Structure</t>
  </si>
  <si>
    <t>Space, Structure?</t>
  </si>
  <si>
    <t xml:space="preserve">Molecule </t>
  </si>
  <si>
    <t xml:space="preserve">Phase </t>
  </si>
  <si>
    <t>ist eher in der Variable</t>
  </si>
  <si>
    <t>auch in der Variable?</t>
  </si>
  <si>
    <t>VesselEnergy</t>
  </si>
  <si>
    <t>LiquidPhase_Energy</t>
  </si>
  <si>
    <t>LiquidPhaseEnergy</t>
  </si>
  <si>
    <t>Water_Energy</t>
  </si>
  <si>
    <t>notes</t>
  </si>
  <si>
    <t>auch für alle anderen phasen die in der vessel sind</t>
  </si>
  <si>
    <t>auch für alle anderen Moleküle die in der Phase sind</t>
  </si>
  <si>
    <t>Task (Cleaning)</t>
  </si>
  <si>
    <t>Task (Experimental Procedure)</t>
  </si>
  <si>
    <t>Task (Measuring)</t>
  </si>
  <si>
    <t>ScalarVariables</t>
  </si>
  <si>
    <t>Energy (Mass)</t>
  </si>
  <si>
    <t>Energy (Stirrer Acceleration)</t>
  </si>
  <si>
    <t>Energy (Temperatureprofile)</t>
  </si>
  <si>
    <t>SeriesVariables</t>
  </si>
  <si>
    <t>Energy (measured temp, pressure)</t>
  </si>
  <si>
    <t>space (hydrogen sparger phase through gas volume)</t>
  </si>
  <si>
    <t>Wenn es nur set ist eigentlich nicht, dann vll information? Oder man muss irgendwo kennzeichnen, wann das set profile auch das tatsächlich umgesetzte Profil ist, wie zb bei den RPM</t>
  </si>
  <si>
    <t>Solvent_Energy</t>
  </si>
  <si>
    <t>#FinalMass_Dimer</t>
  </si>
  <si>
    <t>#FinalMass_RDEt</t>
  </si>
  <si>
    <t>#FinalMass_RDY</t>
  </si>
  <si>
    <t>#InitialMassFraction_Solvent_LiquidPhase</t>
  </si>
  <si>
    <t>#InitialMassFraction_Water_LiquidPhase</t>
  </si>
  <si>
    <t>#InitialVolume_LiquidPhase</t>
  </si>
  <si>
    <t>#RecordedPressure_Reactor</t>
  </si>
  <si>
    <t>#RecordedTemperature_Reactor</t>
  </si>
  <si>
    <t>#SetFlowrateProfile_Jacket</t>
  </si>
  <si>
    <t>#SetPressureProfile_Reactor</t>
  </si>
  <si>
    <t>#SetPressureProfile_Sparger</t>
  </si>
  <si>
    <t>#SetRPMProfile_Reactor</t>
  </si>
  <si>
    <t>#StartMassRDY</t>
  </si>
  <si>
    <t>#StirrerAcceleration</t>
  </si>
  <si>
    <t>#UsedGasVolume_H2</t>
  </si>
  <si>
    <t>Dimer1_Energy, Dimer2_Energy</t>
  </si>
  <si>
    <t>RDEt_Energy</t>
  </si>
  <si>
    <t>RDY_Energy</t>
  </si>
  <si>
    <t>LiquidPhase_Substance</t>
  </si>
  <si>
    <t>LiquidPhase_Space</t>
  </si>
  <si>
    <t>PressureSensor_Energy</t>
  </si>
  <si>
    <t>wird von dem sensor direkt aufgezeichnet, und von dem aus übertragen wir es dann an alle anderen betroffenen entities</t>
  </si>
  <si>
    <t>Temperature_Sensor_Energy</t>
  </si>
  <si>
    <t>Reactor_Energy</t>
  </si>
  <si>
    <t>Vessel_Energy, Sparger_Energy, Stirrer_Energy, TemperatureSensor_Energy, PressureSensor_Energy</t>
  </si>
  <si>
    <t>Hochreichen des Sensors</t>
  </si>
  <si>
    <t>Runterreichen im Reactor</t>
  </si>
  <si>
    <t>LiquidPhase_Energy, SolidPhase_Energy, CatalystPhase_Energy, GasPhase_Energy, DispersedGasPhase_Energy</t>
  </si>
  <si>
    <t>Runterrreichen in die Phase</t>
  </si>
  <si>
    <t>Runterreichen in die Moleküle</t>
  </si>
  <si>
    <t>Oder eigentlich MFC? Und der überträgt es dann an die CoolingFluidPhase über den Stream?</t>
  </si>
  <si>
    <t xml:space="preserve">CoolingFluidPhase_Energy (indirect?), Jacket_Energy (direct?) </t>
  </si>
  <si>
    <t>Stirrer_Energy</t>
  </si>
  <si>
    <t>StirrerEnergy</t>
  </si>
  <si>
    <t>Hochrreichen des Stirrers</t>
  </si>
  <si>
    <t>hochreichen über den Stream? Oder wir geben es dem Stream mit und der reicht es hoch/runter</t>
  </si>
  <si>
    <t>Ist eig nur als Teil des Profiles relevant, und das Profile beschreibt dann die Energy</t>
  </si>
  <si>
    <t>Space: Gas Phase, dispersed gas phase, hydrogen sparger phase?</t>
  </si>
  <si>
    <t>eig mfm und dann wird weitergereicht</t>
  </si>
  <si>
    <t>RDY Energy</t>
  </si>
  <si>
    <t>SolidPhase Substance</t>
  </si>
  <si>
    <t>Molecule Energy</t>
  </si>
  <si>
    <t>Water Space, Solvent Space</t>
  </si>
  <si>
    <t>Reactor Operating Mode</t>
  </si>
  <si>
    <t>Reactor Information</t>
  </si>
  <si>
    <t>Device digital id</t>
  </si>
  <si>
    <t>device information</t>
  </si>
  <si>
    <t>für alle devices</t>
  </si>
  <si>
    <t>Last Used Time</t>
  </si>
  <si>
    <t>device time</t>
  </si>
  <si>
    <t>last used purpose</t>
  </si>
  <si>
    <t>kommt drauf an ob wir das als gegeben sehen oder ein eigenes setting-device haben</t>
  </si>
  <si>
    <t>reactor energy</t>
  </si>
  <si>
    <t>sparger energy</t>
  </si>
  <si>
    <t>hydrogen sparger phase energy</t>
  </si>
  <si>
    <t>CoolingFluidPhase_Energy (direct?), Jacket_Energy (indirect?), reactor energy (indirect)</t>
  </si>
  <si>
    <t>experimental procedure</t>
  </si>
  <si>
    <t>reactor time/history</t>
  </si>
  <si>
    <t>reactor time</t>
  </si>
  <si>
    <t>time of all its parts</t>
  </si>
  <si>
    <t>kann ich das so verallgemeinern? Nicht alle devices sind zb in allen experimental procedures beteiligt oder?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</si>
</sst>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6">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2" fontId="0" fillId="0" borderId="0" xfId="0" applyNumberFormat="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0" borderId="0" xfId="0" applyAlignment="1">
      <alignment vertical="top"/>
    </xf>
    <xf numFmtId="0" fontId="0" fillId="5" borderId="0" xfId="0" applyFill="1"/>
    <xf numFmtId="0" fontId="0" fillId="5" borderId="0" xfId="0" applyFill="1" applyAlignment="1">
      <alignment vertical="top"/>
    </xf>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xf numFmtId="0" fontId="0" fillId="2" borderId="0" xfId="0" applyFill="1" applyAlignment="1">
      <alignment horizontal="center"/>
    </xf>
  </cellXfs>
  <cellStyles count="2">
    <cellStyle name="Link" xfId="1" builtinId="8"/>
    <cellStyle name="Standard" xfId="0" builtinId="0"/>
  </cellStyles>
  <dxfs count="0"/>
  <tableStyles count="0" defaultTableStyle="TableStyleMedium2" defaultPivotStyle="PivotStyleLight16"/>
  <colors>
    <mruColors>
      <color rgb="FFFFFFCC"/>
      <color rgb="FFFFCC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76ECD-F4D7-4A96-B67D-915BA4B807CA}">
  <sheetPr codeName="Tabelle1"/>
  <dimension ref="A1:E64"/>
  <sheetViews>
    <sheetView workbookViewId="0">
      <selection activeCell="B26" sqref="B26"/>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34</v>
      </c>
      <c r="E1" t="s">
        <v>4</v>
      </c>
    </row>
    <row r="2" spans="1:5" x14ac:dyDescent="0.25">
      <c r="A2" t="s">
        <v>5</v>
      </c>
      <c r="B2" t="s">
        <v>6</v>
      </c>
      <c r="C2" t="s">
        <v>30</v>
      </c>
      <c r="D2" t="s">
        <v>67</v>
      </c>
      <c r="E2" t="s">
        <v>76</v>
      </c>
    </row>
    <row r="3" spans="1:5" x14ac:dyDescent="0.25">
      <c r="B3" t="s">
        <v>7</v>
      </c>
      <c r="C3" t="s">
        <v>31</v>
      </c>
      <c r="D3" t="s">
        <v>36</v>
      </c>
      <c r="E3" t="s">
        <v>70</v>
      </c>
    </row>
    <row r="4" spans="1:5" x14ac:dyDescent="0.25">
      <c r="B4" t="s">
        <v>8</v>
      </c>
      <c r="C4" t="s">
        <v>160</v>
      </c>
      <c r="D4" t="s">
        <v>37</v>
      </c>
      <c r="E4" t="s">
        <v>77</v>
      </c>
    </row>
    <row r="5" spans="1:5" x14ac:dyDescent="0.25">
      <c r="B5" t="s">
        <v>9</v>
      </c>
      <c r="C5" t="s">
        <v>32</v>
      </c>
      <c r="D5" t="s">
        <v>42</v>
      </c>
      <c r="E5" t="s">
        <v>78</v>
      </c>
    </row>
    <row r="6" spans="1:5" x14ac:dyDescent="0.25">
      <c r="C6" t="s">
        <v>33</v>
      </c>
      <c r="D6" t="s">
        <v>38</v>
      </c>
    </row>
    <row r="7" spans="1:5" s="1" customFormat="1" x14ac:dyDescent="0.25">
      <c r="D7" t="s">
        <v>39</v>
      </c>
    </row>
    <row r="8" spans="1:5" s="1" customFormat="1" x14ac:dyDescent="0.25">
      <c r="D8" s="1" t="s">
        <v>40</v>
      </c>
    </row>
    <row r="9" spans="1:5" s="1" customFormat="1" x14ac:dyDescent="0.25">
      <c r="D9" s="1" t="s">
        <v>41</v>
      </c>
    </row>
    <row r="10" spans="1:5" s="1" customFormat="1" x14ac:dyDescent="0.25">
      <c r="D10" s="1" t="s">
        <v>53</v>
      </c>
    </row>
    <row r="11" spans="1:5" s="1" customFormat="1" x14ac:dyDescent="0.25">
      <c r="D11" s="1" t="s">
        <v>54</v>
      </c>
    </row>
    <row r="12" spans="1:5" s="1" customFormat="1" x14ac:dyDescent="0.25">
      <c r="C12" s="1" t="s">
        <v>79</v>
      </c>
      <c r="D12" s="1" t="s">
        <v>57</v>
      </c>
    </row>
    <row r="13" spans="1:5" s="1" customFormat="1" x14ac:dyDescent="0.25">
      <c r="D13" s="1" t="s">
        <v>58</v>
      </c>
    </row>
    <row r="14" spans="1:5" s="1" customFormat="1" x14ac:dyDescent="0.25">
      <c r="D14" s="1" t="s">
        <v>61</v>
      </c>
    </row>
    <row r="15" spans="1:5" s="1" customFormat="1" x14ac:dyDescent="0.25">
      <c r="D15" s="1" t="s">
        <v>62</v>
      </c>
    </row>
    <row r="16" spans="1:5" s="1" customFormat="1" x14ac:dyDescent="0.25">
      <c r="D16" s="1" t="s">
        <v>66</v>
      </c>
    </row>
    <row r="17" spans="1:4" s="1" customFormat="1" x14ac:dyDescent="0.25">
      <c r="D17" s="1" t="s">
        <v>68</v>
      </c>
    </row>
    <row r="18" spans="1:4" s="1" customFormat="1" x14ac:dyDescent="0.25"/>
    <row r="19" spans="1:4" s="1" customFormat="1" x14ac:dyDescent="0.25">
      <c r="A19" s="1" t="s">
        <v>409</v>
      </c>
      <c r="B19" s="1" t="s">
        <v>410</v>
      </c>
      <c r="C19" s="1" t="s">
        <v>418</v>
      </c>
      <c r="D19" s="1" t="s">
        <v>421</v>
      </c>
    </row>
    <row r="20" spans="1:4" s="1" customFormat="1" x14ac:dyDescent="0.25">
      <c r="B20" s="1" t="s">
        <v>411</v>
      </c>
      <c r="C20" s="1" t="s">
        <v>417</v>
      </c>
      <c r="D20" s="1" t="s">
        <v>422</v>
      </c>
    </row>
    <row r="21" spans="1:4" s="1" customFormat="1" x14ac:dyDescent="0.25">
      <c r="B21" s="1" t="s">
        <v>16</v>
      </c>
      <c r="C21" s="1" t="s">
        <v>419</v>
      </c>
      <c r="D21" s="1" t="s">
        <v>423</v>
      </c>
    </row>
    <row r="22" spans="1:4" s="1" customFormat="1" x14ac:dyDescent="0.25">
      <c r="B22" s="1" t="s">
        <v>416</v>
      </c>
      <c r="C22" s="1" t="s">
        <v>420</v>
      </c>
      <c r="D22" s="1" t="s">
        <v>424</v>
      </c>
    </row>
    <row r="23" spans="1:4" s="1" customFormat="1" x14ac:dyDescent="0.25">
      <c r="B23" s="1" t="s">
        <v>412</v>
      </c>
      <c r="D23" s="1" t="s">
        <v>425</v>
      </c>
    </row>
    <row r="24" spans="1:4" s="1" customFormat="1" x14ac:dyDescent="0.25">
      <c r="B24" s="1" t="s">
        <v>415</v>
      </c>
      <c r="D24" s="1" t="s">
        <v>426</v>
      </c>
    </row>
    <row r="25" spans="1:4" s="1" customFormat="1" x14ac:dyDescent="0.25">
      <c r="B25" s="1" t="s">
        <v>413</v>
      </c>
    </row>
    <row r="26" spans="1:4" s="1" customFormat="1" x14ac:dyDescent="0.25">
      <c r="B26" s="1" t="s">
        <v>414</v>
      </c>
    </row>
    <row r="27" spans="1:4" s="1" customFormat="1" x14ac:dyDescent="0.25">
      <c r="B27" s="1" t="s">
        <v>1151</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34</v>
      </c>
    </row>
    <row r="34" spans="1:5" s="1" customFormat="1" x14ac:dyDescent="0.25">
      <c r="A34" s="1" t="s">
        <v>43</v>
      </c>
      <c r="B34" s="1" t="s">
        <v>44</v>
      </c>
      <c r="C34" s="1" t="s">
        <v>45</v>
      </c>
      <c r="D34" s="1" t="s">
        <v>69</v>
      </c>
      <c r="E34" s="1" t="s">
        <v>353</v>
      </c>
    </row>
    <row r="35" spans="1:5" s="1" customFormat="1" x14ac:dyDescent="0.25">
      <c r="A35" t="s">
        <v>67</v>
      </c>
      <c r="B35" s="1" t="s">
        <v>35</v>
      </c>
      <c r="D35" s="1" t="s">
        <v>70</v>
      </c>
    </row>
    <row r="36" spans="1:5" s="1" customFormat="1" x14ac:dyDescent="0.25">
      <c r="A36" t="s">
        <v>36</v>
      </c>
      <c r="C36" s="1" t="s">
        <v>46</v>
      </c>
      <c r="D36" s="1" t="s">
        <v>71</v>
      </c>
    </row>
    <row r="37" spans="1:5" s="1" customFormat="1" x14ac:dyDescent="0.25">
      <c r="A37" t="s">
        <v>37</v>
      </c>
      <c r="C37" s="1" t="s">
        <v>47</v>
      </c>
      <c r="D37" s="1" t="s">
        <v>70</v>
      </c>
    </row>
    <row r="38" spans="1:5" s="1" customFormat="1" x14ac:dyDescent="0.25">
      <c r="A38" t="s">
        <v>42</v>
      </c>
      <c r="C38" s="1" t="s">
        <v>48</v>
      </c>
      <c r="D38" s="1" t="s">
        <v>71</v>
      </c>
    </row>
    <row r="39" spans="1:5" s="1" customFormat="1" x14ac:dyDescent="0.25">
      <c r="A39" t="s">
        <v>38</v>
      </c>
      <c r="C39" s="1" t="s">
        <v>49</v>
      </c>
      <c r="D39" s="1" t="s">
        <v>72</v>
      </c>
    </row>
    <row r="40" spans="1:5" s="1" customFormat="1" x14ac:dyDescent="0.25">
      <c r="A40" t="s">
        <v>39</v>
      </c>
      <c r="C40" s="1" t="s">
        <v>50</v>
      </c>
      <c r="D40" s="1" t="s">
        <v>73</v>
      </c>
    </row>
    <row r="41" spans="1:5" s="1" customFormat="1" x14ac:dyDescent="0.25">
      <c r="A41" s="1" t="s">
        <v>40</v>
      </c>
      <c r="C41" s="1" t="s">
        <v>51</v>
      </c>
      <c r="D41" s="1" t="s">
        <v>72</v>
      </c>
    </row>
    <row r="42" spans="1:5" s="1" customFormat="1" x14ac:dyDescent="0.25">
      <c r="A42" s="1" t="s">
        <v>41</v>
      </c>
      <c r="C42" s="1" t="s">
        <v>52</v>
      </c>
      <c r="D42" s="1" t="s">
        <v>73</v>
      </c>
    </row>
    <row r="43" spans="1:5" s="1" customFormat="1" x14ac:dyDescent="0.25">
      <c r="A43" s="1" t="s">
        <v>53</v>
      </c>
      <c r="C43" s="1" t="s">
        <v>55</v>
      </c>
      <c r="D43" s="1" t="s">
        <v>72</v>
      </c>
    </row>
    <row r="44" spans="1:5" s="1" customFormat="1" x14ac:dyDescent="0.25">
      <c r="A44" s="1" t="s">
        <v>54</v>
      </c>
      <c r="C44" s="1" t="s">
        <v>56</v>
      </c>
      <c r="D44" s="1" t="s">
        <v>73</v>
      </c>
    </row>
    <row r="45" spans="1:5" s="1" customFormat="1" x14ac:dyDescent="0.25">
      <c r="A45" s="1" t="s">
        <v>57</v>
      </c>
      <c r="C45" s="1" t="s">
        <v>59</v>
      </c>
      <c r="D45" s="1" t="s">
        <v>72</v>
      </c>
    </row>
    <row r="46" spans="1:5" s="1" customFormat="1" x14ac:dyDescent="0.25">
      <c r="A46" s="1" t="s">
        <v>58</v>
      </c>
      <c r="C46" s="1" t="s">
        <v>60</v>
      </c>
      <c r="D46" s="1" t="s">
        <v>73</v>
      </c>
    </row>
    <row r="47" spans="1:5" s="1" customFormat="1" x14ac:dyDescent="0.25">
      <c r="A47" s="1" t="s">
        <v>61</v>
      </c>
      <c r="C47" s="1" t="s">
        <v>63</v>
      </c>
      <c r="D47" s="1" t="s">
        <v>72</v>
      </c>
    </row>
    <row r="48" spans="1:5" s="1" customFormat="1" x14ac:dyDescent="0.25">
      <c r="A48" s="1" t="s">
        <v>62</v>
      </c>
      <c r="C48" s="1" t="s">
        <v>64</v>
      </c>
      <c r="D48" s="1" t="s">
        <v>73</v>
      </c>
    </row>
    <row r="49" spans="1:5" s="1" customFormat="1" x14ac:dyDescent="0.25">
      <c r="A49" s="1" t="s">
        <v>66</v>
      </c>
      <c r="B49" s="1" t="s">
        <v>65</v>
      </c>
      <c r="D49" s="1" t="s">
        <v>74</v>
      </c>
    </row>
    <row r="50" spans="1:5" s="1" customFormat="1" x14ac:dyDescent="0.25">
      <c r="A50" s="1" t="s">
        <v>68</v>
      </c>
      <c r="D50" s="1" t="s">
        <v>75</v>
      </c>
    </row>
    <row r="51" spans="1:5" s="1" customFormat="1" x14ac:dyDescent="0.25"/>
    <row r="52" spans="1:5" s="1" customFormat="1" x14ac:dyDescent="0.25"/>
    <row r="55" spans="1:5" x14ac:dyDescent="0.25">
      <c r="A55" t="s">
        <v>164</v>
      </c>
    </row>
    <row r="56" spans="1:5" x14ac:dyDescent="0.25">
      <c r="A56" t="s">
        <v>10</v>
      </c>
      <c r="B56" t="s">
        <v>11</v>
      </c>
      <c r="C56" t="s">
        <v>7</v>
      </c>
    </row>
    <row r="57" spans="1:5" x14ac:dyDescent="0.25">
      <c r="C57" t="s">
        <v>8</v>
      </c>
    </row>
    <row r="58" spans="1:5" x14ac:dyDescent="0.25">
      <c r="C58" t="s">
        <v>9</v>
      </c>
    </row>
    <row r="60" spans="1:5" x14ac:dyDescent="0.25">
      <c r="B60" t="s">
        <v>162</v>
      </c>
      <c r="C60" t="s">
        <v>163</v>
      </c>
      <c r="E60" t="s">
        <v>165</v>
      </c>
    </row>
    <row r="61" spans="1:5" x14ac:dyDescent="0.25">
      <c r="A61" t="s">
        <v>161</v>
      </c>
      <c r="C61" t="s">
        <v>155</v>
      </c>
    </row>
    <row r="64" spans="1:5" x14ac:dyDescent="0.25">
      <c r="A64" t="s">
        <v>473</v>
      </c>
      <c r="B64" t="s">
        <v>11</v>
      </c>
      <c r="C64" t="s">
        <v>429</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316</v>
      </c>
      <c r="B3" t="s">
        <v>846</v>
      </c>
    </row>
    <row r="4" spans="1:3" x14ac:dyDescent="0.25">
      <c r="B4" t="s">
        <v>785</v>
      </c>
      <c r="C4" t="s">
        <v>853</v>
      </c>
    </row>
    <row r="5" spans="1:3" x14ac:dyDescent="0.25">
      <c r="B5" t="s">
        <v>786</v>
      </c>
      <c r="C5" t="s">
        <v>851</v>
      </c>
    </row>
    <row r="6" spans="1:3" x14ac:dyDescent="0.25">
      <c r="B6" t="s">
        <v>847</v>
      </c>
      <c r="C6" t="s">
        <v>852</v>
      </c>
    </row>
    <row r="7" spans="1:3" x14ac:dyDescent="0.25">
      <c r="B7" t="s">
        <v>854</v>
      </c>
    </row>
    <row r="10" spans="1:3" x14ac:dyDescent="0.25">
      <c r="A10" t="s">
        <v>787</v>
      </c>
    </row>
    <row r="11" spans="1:3" x14ac:dyDescent="0.25">
      <c r="B11" t="s">
        <v>334</v>
      </c>
      <c r="C11" t="s">
        <v>761</v>
      </c>
    </row>
    <row r="12" spans="1:3" x14ac:dyDescent="0.25">
      <c r="C12" t="s">
        <v>768</v>
      </c>
    </row>
    <row r="13" spans="1:3" x14ac:dyDescent="0.25">
      <c r="C13" t="s">
        <v>788</v>
      </c>
    </row>
    <row r="14" spans="1:3" x14ac:dyDescent="0.25">
      <c r="B14" t="s">
        <v>789</v>
      </c>
    </row>
    <row r="17" spans="1:2" x14ac:dyDescent="0.25">
      <c r="A17" t="s">
        <v>855</v>
      </c>
      <c r="B17" t="s">
        <v>856</v>
      </c>
    </row>
    <row r="19" spans="1:2" x14ac:dyDescent="0.25">
      <c r="A19" t="s">
        <v>866</v>
      </c>
      <c r="B19" t="s">
        <v>864</v>
      </c>
    </row>
    <row r="20" spans="1:2" x14ac:dyDescent="0.25">
      <c r="B20" t="s">
        <v>865</v>
      </c>
    </row>
    <row r="23" spans="1:2" x14ac:dyDescent="0.25">
      <c r="A23" t="s">
        <v>867</v>
      </c>
      <c r="B23" t="s">
        <v>868</v>
      </c>
    </row>
    <row r="25" spans="1:2" x14ac:dyDescent="0.25">
      <c r="A25" t="s">
        <v>877</v>
      </c>
    </row>
    <row r="27" spans="1:2" x14ac:dyDescent="0.25">
      <c r="A27" t="s">
        <v>899</v>
      </c>
      <c r="B27" t="s">
        <v>900</v>
      </c>
    </row>
    <row r="28" spans="1:2" x14ac:dyDescent="0.25">
      <c r="B28" t="s">
        <v>901</v>
      </c>
    </row>
    <row r="32" spans="1:2" x14ac:dyDescent="0.25">
      <c r="A32" t="s">
        <v>1017</v>
      </c>
    </row>
    <row r="33" spans="1:2" x14ac:dyDescent="0.25">
      <c r="A33" t="s">
        <v>1018</v>
      </c>
    </row>
    <row r="35" spans="1:2" x14ac:dyDescent="0.25">
      <c r="A35" t="s">
        <v>1027</v>
      </c>
      <c r="B35" t="s">
        <v>1028</v>
      </c>
    </row>
    <row r="37" spans="1:2" x14ac:dyDescent="0.25">
      <c r="A37" t="s">
        <v>1167</v>
      </c>
      <c r="B37" t="s">
        <v>1168</v>
      </c>
    </row>
    <row r="39" spans="1:2" x14ac:dyDescent="0.25">
      <c r="A39" t="s">
        <v>1169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11C35-214B-4916-B38D-261F5325E3A4}">
  <sheetPr codeName="Tabelle3"/>
  <dimension ref="A1:N87"/>
  <sheetViews>
    <sheetView zoomScale="85" zoomScaleNormal="85" workbookViewId="0">
      <pane ySplit="1" topLeftCell="A2" activePane="bottomLeft" state="frozen"/>
      <selection pane="bottomLeft" activeCell="G25" sqref="G25"/>
    </sheetView>
  </sheetViews>
  <sheetFormatPr baseColWidth="10" defaultRowHeight="15" x14ac:dyDescent="0.25"/>
  <cols>
    <col min="2" max="2" width="15.85546875" customWidth="1"/>
    <col min="3" max="3" width="26.85546875" customWidth="1"/>
    <col min="4" max="4" width="21" customWidth="1"/>
    <col min="5" max="5" width="22.140625" customWidth="1"/>
    <col min="6" max="6" width="28.85546875" customWidth="1"/>
    <col min="7" max="7" width="23.5703125" customWidth="1"/>
    <col min="8" max="8" width="18.7109375" customWidth="1"/>
    <col min="9" max="9" width="22.7109375" customWidth="1"/>
    <col min="11" max="11" width="33.85546875" customWidth="1"/>
    <col min="12" max="12" width="30.5703125" customWidth="1"/>
    <col min="13" max="13" width="22.4257812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B3" s="11" t="s">
        <v>16</v>
      </c>
      <c r="C3" t="s">
        <v>17</v>
      </c>
      <c r="D3" t="s">
        <v>18</v>
      </c>
      <c r="E3" t="s">
        <v>88</v>
      </c>
      <c r="F3" t="s">
        <v>91</v>
      </c>
      <c r="G3" t="s">
        <v>93</v>
      </c>
      <c r="H3" t="s">
        <v>94</v>
      </c>
      <c r="I3" t="s">
        <v>117</v>
      </c>
      <c r="J3">
        <v>300</v>
      </c>
      <c r="K3" t="s">
        <v>119</v>
      </c>
      <c r="L3" t="s">
        <v>106</v>
      </c>
      <c r="M3" t="s">
        <v>108</v>
      </c>
      <c r="N3" t="s">
        <v>109</v>
      </c>
    </row>
    <row r="4" spans="1:14" x14ac:dyDescent="0.25">
      <c r="B4" s="11"/>
      <c r="C4" t="s">
        <v>80</v>
      </c>
      <c r="D4">
        <v>1</v>
      </c>
      <c r="E4" t="s">
        <v>90</v>
      </c>
      <c r="F4" t="s">
        <v>92</v>
      </c>
      <c r="I4" t="s">
        <v>95</v>
      </c>
      <c r="J4" t="s">
        <v>100</v>
      </c>
      <c r="K4" t="s">
        <v>107</v>
      </c>
      <c r="L4" s="5">
        <v>1.4</v>
      </c>
    </row>
    <row r="5" spans="1:14" x14ac:dyDescent="0.25">
      <c r="B5" s="11"/>
      <c r="C5" t="s">
        <v>81</v>
      </c>
      <c r="D5" t="s">
        <v>190</v>
      </c>
      <c r="I5" t="s">
        <v>96</v>
      </c>
      <c r="J5" t="s">
        <v>101</v>
      </c>
    </row>
    <row r="6" spans="1:14" x14ac:dyDescent="0.25">
      <c r="B6" s="11"/>
      <c r="C6" t="s">
        <v>82</v>
      </c>
      <c r="D6" t="s">
        <v>190</v>
      </c>
      <c r="I6" t="s">
        <v>97</v>
      </c>
      <c r="J6" t="s">
        <v>102</v>
      </c>
    </row>
    <row r="7" spans="1:14" x14ac:dyDescent="0.25">
      <c r="B7" s="11"/>
      <c r="C7" t="s">
        <v>83</v>
      </c>
      <c r="D7" t="s">
        <v>89</v>
      </c>
      <c r="I7" t="s">
        <v>98</v>
      </c>
      <c r="J7" t="s">
        <v>103</v>
      </c>
    </row>
    <row r="8" spans="1:14" x14ac:dyDescent="0.25">
      <c r="B8" s="11"/>
      <c r="C8" s="7" t="s">
        <v>84</v>
      </c>
      <c r="D8" s="7" t="s">
        <v>86</v>
      </c>
      <c r="I8" t="s">
        <v>99</v>
      </c>
      <c r="J8" t="s">
        <v>104</v>
      </c>
    </row>
    <row r="9" spans="1:14" x14ac:dyDescent="0.25">
      <c r="B9" s="11"/>
      <c r="C9" s="7" t="s">
        <v>85</v>
      </c>
      <c r="D9" s="7" t="s">
        <v>87</v>
      </c>
    </row>
    <row r="10" spans="1:14" x14ac:dyDescent="0.25">
      <c r="B10" s="11"/>
    </row>
    <row r="11" spans="1:14" x14ac:dyDescent="0.25">
      <c r="B11" s="11"/>
    </row>
    <row r="12" spans="1:14" x14ac:dyDescent="0.25">
      <c r="B12" s="11"/>
    </row>
    <row r="13" spans="1:14" s="12" customFormat="1" x14ac:dyDescent="0.25">
      <c r="B13" s="13"/>
    </row>
    <row r="14" spans="1:14" x14ac:dyDescent="0.25">
      <c r="B14" s="11" t="s">
        <v>110</v>
      </c>
      <c r="C14" t="s">
        <v>80</v>
      </c>
      <c r="D14">
        <v>2</v>
      </c>
      <c r="E14" t="s">
        <v>112</v>
      </c>
      <c r="F14" t="s">
        <v>890</v>
      </c>
      <c r="G14" s="7" t="s">
        <v>115</v>
      </c>
      <c r="H14" s="7" t="s">
        <v>190</v>
      </c>
      <c r="I14" s="7" t="s">
        <v>96</v>
      </c>
      <c r="J14">
        <v>1</v>
      </c>
      <c r="K14" s="7" t="s">
        <v>118</v>
      </c>
      <c r="L14" t="s">
        <v>120</v>
      </c>
      <c r="M14" s="7" t="s">
        <v>108</v>
      </c>
      <c r="N14" t="s">
        <v>122</v>
      </c>
    </row>
    <row r="15" spans="1:14" x14ac:dyDescent="0.25">
      <c r="B15" s="11"/>
      <c r="E15" t="s">
        <v>113</v>
      </c>
      <c r="F15" t="s">
        <v>891</v>
      </c>
      <c r="G15" s="7" t="s">
        <v>116</v>
      </c>
      <c r="H15" s="7" t="s">
        <v>190</v>
      </c>
      <c r="I15" s="7" t="s">
        <v>97</v>
      </c>
      <c r="J15" t="s">
        <v>104</v>
      </c>
      <c r="K15" s="7" t="s">
        <v>107</v>
      </c>
      <c r="L15" s="5">
        <v>1.4</v>
      </c>
    </row>
    <row r="16" spans="1:14" x14ac:dyDescent="0.25">
      <c r="B16" s="11"/>
      <c r="C16" t="s">
        <v>83</v>
      </c>
      <c r="D16" t="s">
        <v>89</v>
      </c>
      <c r="E16" t="s">
        <v>114</v>
      </c>
      <c r="F16" t="s">
        <v>892</v>
      </c>
      <c r="G16" t="s">
        <v>82</v>
      </c>
      <c r="H16" t="s">
        <v>190</v>
      </c>
      <c r="I16" s="7" t="s">
        <v>98</v>
      </c>
      <c r="J16" t="s">
        <v>121</v>
      </c>
    </row>
    <row r="17" spans="2:14" x14ac:dyDescent="0.25">
      <c r="B17" s="11"/>
      <c r="C17" t="s">
        <v>85</v>
      </c>
      <c r="D17" t="s">
        <v>111</v>
      </c>
      <c r="I17" s="7" t="s">
        <v>99</v>
      </c>
      <c r="J17" t="s">
        <v>104</v>
      </c>
    </row>
    <row r="18" spans="2:14" x14ac:dyDescent="0.25">
      <c r="B18" s="11"/>
    </row>
    <row r="19" spans="2:14" x14ac:dyDescent="0.25">
      <c r="B19" s="11"/>
    </row>
    <row r="20" spans="2:14" x14ac:dyDescent="0.25">
      <c r="B20" s="11"/>
    </row>
    <row r="21" spans="2:14" x14ac:dyDescent="0.25">
      <c r="B21" s="11"/>
    </row>
    <row r="22" spans="2:14" s="12" customFormat="1" x14ac:dyDescent="0.25">
      <c r="B22" s="13"/>
    </row>
    <row r="23" spans="2:14" x14ac:dyDescent="0.25">
      <c r="B23" s="11" t="s">
        <v>123</v>
      </c>
      <c r="C23" t="s">
        <v>80</v>
      </c>
      <c r="D23">
        <v>3</v>
      </c>
      <c r="E23" t="s">
        <v>125</v>
      </c>
      <c r="F23">
        <v>100</v>
      </c>
      <c r="G23" t="s">
        <v>131</v>
      </c>
      <c r="H23" t="s">
        <v>190</v>
      </c>
      <c r="I23" t="s">
        <v>133</v>
      </c>
      <c r="J23" t="s">
        <v>135</v>
      </c>
      <c r="K23" t="s">
        <v>137</v>
      </c>
      <c r="L23" t="s">
        <v>138</v>
      </c>
      <c r="M23" t="s">
        <v>108</v>
      </c>
      <c r="N23" t="s">
        <v>139</v>
      </c>
    </row>
    <row r="24" spans="2:14" x14ac:dyDescent="0.25">
      <c r="B24" s="11"/>
      <c r="C24" t="s">
        <v>82</v>
      </c>
      <c r="D24" t="s">
        <v>190</v>
      </c>
      <c r="E24" t="s">
        <v>127</v>
      </c>
      <c r="F24" t="s">
        <v>126</v>
      </c>
      <c r="G24" t="s">
        <v>132</v>
      </c>
      <c r="H24" t="s">
        <v>190</v>
      </c>
      <c r="I24" t="s">
        <v>134</v>
      </c>
      <c r="J24" t="s">
        <v>104</v>
      </c>
    </row>
    <row r="25" spans="2:14" x14ac:dyDescent="0.25">
      <c r="B25" s="11"/>
      <c r="C25" t="s">
        <v>83</v>
      </c>
      <c r="D25" t="s">
        <v>89</v>
      </c>
      <c r="E25" t="s">
        <v>128</v>
      </c>
      <c r="F25">
        <v>2</v>
      </c>
      <c r="I25" t="s">
        <v>98</v>
      </c>
      <c r="J25">
        <v>6</v>
      </c>
    </row>
    <row r="26" spans="2:14" x14ac:dyDescent="0.25">
      <c r="B26" s="11"/>
      <c r="C26" t="s">
        <v>85</v>
      </c>
      <c r="D26" t="s">
        <v>124</v>
      </c>
      <c r="E26" t="s">
        <v>130</v>
      </c>
      <c r="F26" t="s">
        <v>129</v>
      </c>
      <c r="I26" t="s">
        <v>99</v>
      </c>
      <c r="J26" t="s">
        <v>136</v>
      </c>
    </row>
    <row r="27" spans="2:14" x14ac:dyDescent="0.25">
      <c r="B27" s="11"/>
    </row>
    <row r="28" spans="2:14" x14ac:dyDescent="0.25">
      <c r="B28" s="11"/>
    </row>
    <row r="29" spans="2:14" s="12" customFormat="1" x14ac:dyDescent="0.25">
      <c r="B29" s="13"/>
    </row>
    <row r="30" spans="2:14" x14ac:dyDescent="0.25">
      <c r="B30" s="11" t="s">
        <v>140</v>
      </c>
      <c r="C30" t="s">
        <v>80</v>
      </c>
      <c r="D30">
        <v>4</v>
      </c>
      <c r="E30" t="s">
        <v>141</v>
      </c>
      <c r="F30">
        <v>15</v>
      </c>
      <c r="G30" t="s">
        <v>146</v>
      </c>
      <c r="H30" t="s">
        <v>190</v>
      </c>
      <c r="I30" t="s">
        <v>133</v>
      </c>
      <c r="J30" t="s">
        <v>135</v>
      </c>
      <c r="K30" t="s">
        <v>147</v>
      </c>
      <c r="L30" t="s">
        <v>148</v>
      </c>
      <c r="M30" t="s">
        <v>108</v>
      </c>
      <c r="N30" t="s">
        <v>149</v>
      </c>
    </row>
    <row r="31" spans="2:14" x14ac:dyDescent="0.25">
      <c r="B31" s="11"/>
      <c r="C31" t="s">
        <v>82</v>
      </c>
      <c r="D31" t="s">
        <v>190</v>
      </c>
      <c r="E31" t="s">
        <v>145</v>
      </c>
      <c r="F31" t="s">
        <v>143</v>
      </c>
      <c r="I31" t="s">
        <v>134</v>
      </c>
      <c r="J31" t="s">
        <v>104</v>
      </c>
    </row>
    <row r="32" spans="2:14" x14ac:dyDescent="0.25">
      <c r="B32" s="11"/>
      <c r="C32" t="s">
        <v>83</v>
      </c>
      <c r="D32" t="s">
        <v>89</v>
      </c>
      <c r="E32" t="s">
        <v>142</v>
      </c>
      <c r="F32">
        <v>1</v>
      </c>
      <c r="I32" t="s">
        <v>98</v>
      </c>
      <c r="J32">
        <v>6</v>
      </c>
    </row>
    <row r="33" spans="2:14" x14ac:dyDescent="0.25">
      <c r="B33" s="11"/>
      <c r="E33" t="s">
        <v>144</v>
      </c>
      <c r="F33" t="s">
        <v>129</v>
      </c>
      <c r="I33" t="s">
        <v>99</v>
      </c>
      <c r="J33" t="s">
        <v>136</v>
      </c>
    </row>
    <row r="34" spans="2:14" x14ac:dyDescent="0.25">
      <c r="B34" s="11"/>
    </row>
    <row r="35" spans="2:14" x14ac:dyDescent="0.25">
      <c r="B35" s="11"/>
    </row>
    <row r="36" spans="2:14" s="12" customFormat="1" x14ac:dyDescent="0.25">
      <c r="B36" s="13"/>
    </row>
    <row r="37" spans="2:14" x14ac:dyDescent="0.25">
      <c r="B37" s="11" t="s">
        <v>161</v>
      </c>
      <c r="C37" t="s">
        <v>166</v>
      </c>
      <c r="D37" t="s">
        <v>167</v>
      </c>
      <c r="G37" t="s">
        <v>171</v>
      </c>
      <c r="H37" t="s">
        <v>190</v>
      </c>
      <c r="I37" t="s">
        <v>117</v>
      </c>
      <c r="J37" t="s">
        <v>103</v>
      </c>
      <c r="K37" t="s">
        <v>105</v>
      </c>
      <c r="L37" t="s">
        <v>106</v>
      </c>
      <c r="M37" t="s">
        <v>217</v>
      </c>
      <c r="N37" t="s">
        <v>220</v>
      </c>
    </row>
    <row r="38" spans="2:14" x14ac:dyDescent="0.25">
      <c r="B38" s="11"/>
      <c r="C38" t="s">
        <v>168</v>
      </c>
      <c r="D38" t="s">
        <v>157</v>
      </c>
      <c r="G38" s="6" t="s">
        <v>82</v>
      </c>
      <c r="H38" t="s">
        <v>189</v>
      </c>
      <c r="I38" t="s">
        <v>95</v>
      </c>
      <c r="J38" t="s">
        <v>175</v>
      </c>
      <c r="K38" t="s">
        <v>214</v>
      </c>
      <c r="L38">
        <v>10</v>
      </c>
      <c r="M38" t="s">
        <v>218</v>
      </c>
      <c r="N38" t="s">
        <v>215</v>
      </c>
    </row>
    <row r="39" spans="2:14" x14ac:dyDescent="0.25">
      <c r="B39" s="11"/>
      <c r="C39" t="s">
        <v>169</v>
      </c>
      <c r="D39" t="s">
        <v>170</v>
      </c>
      <c r="G39" s="6" t="s">
        <v>172</v>
      </c>
      <c r="H39" t="s">
        <v>189</v>
      </c>
      <c r="I39" t="s">
        <v>173</v>
      </c>
      <c r="J39">
        <v>20</v>
      </c>
      <c r="K39" t="s">
        <v>212</v>
      </c>
      <c r="L39" t="s">
        <v>213</v>
      </c>
      <c r="M39" t="s">
        <v>219</v>
      </c>
      <c r="N39" t="s">
        <v>194</v>
      </c>
    </row>
    <row r="40" spans="2:14" x14ac:dyDescent="0.25">
      <c r="B40" s="11"/>
      <c r="C40" s="7" t="s">
        <v>276</v>
      </c>
      <c r="E40" s="3"/>
      <c r="I40" t="s">
        <v>174</v>
      </c>
      <c r="J40" t="s">
        <v>100</v>
      </c>
      <c r="K40" t="s">
        <v>228</v>
      </c>
      <c r="M40" t="s">
        <v>177</v>
      </c>
      <c r="N40">
        <v>3</v>
      </c>
    </row>
    <row r="41" spans="2:14" x14ac:dyDescent="0.25">
      <c r="B41" s="11"/>
      <c r="C41" s="7" t="s">
        <v>278</v>
      </c>
      <c r="E41" s="3"/>
      <c r="K41" t="s">
        <v>216</v>
      </c>
      <c r="M41" t="s">
        <v>178</v>
      </c>
      <c r="N41">
        <v>4</v>
      </c>
    </row>
    <row r="42" spans="2:14" x14ac:dyDescent="0.25">
      <c r="B42" s="11"/>
      <c r="C42" s="6" t="s">
        <v>83</v>
      </c>
      <c r="D42" t="s">
        <v>189</v>
      </c>
      <c r="E42" s="3"/>
      <c r="M42" t="s">
        <v>179</v>
      </c>
      <c r="N42">
        <v>5</v>
      </c>
    </row>
    <row r="43" spans="2:14" x14ac:dyDescent="0.25">
      <c r="B43" s="11"/>
      <c r="E43" s="3"/>
      <c r="M43" t="s">
        <v>180</v>
      </c>
      <c r="N43">
        <v>6</v>
      </c>
    </row>
    <row r="44" spans="2:14" x14ac:dyDescent="0.25">
      <c r="B44" s="11"/>
      <c r="E44" s="3"/>
      <c r="M44" t="s">
        <v>181</v>
      </c>
      <c r="N44" t="s">
        <v>182</v>
      </c>
    </row>
    <row r="45" spans="2:14" x14ac:dyDescent="0.25">
      <c r="B45" s="11"/>
      <c r="E45" s="3"/>
    </row>
    <row r="46" spans="2:14" x14ac:dyDescent="0.25">
      <c r="B46" s="11"/>
    </row>
    <row r="47" spans="2:14" s="12" customFormat="1" x14ac:dyDescent="0.25">
      <c r="B47" s="13"/>
    </row>
    <row r="48" spans="2:14" x14ac:dyDescent="0.25">
      <c r="B48" s="11" t="s">
        <v>187</v>
      </c>
      <c r="C48" t="s">
        <v>166</v>
      </c>
      <c r="D48" t="s">
        <v>188</v>
      </c>
      <c r="G48" t="s">
        <v>171</v>
      </c>
      <c r="H48" t="s">
        <v>190</v>
      </c>
      <c r="I48" t="s">
        <v>191</v>
      </c>
      <c r="J48" t="s">
        <v>192</v>
      </c>
      <c r="K48" t="s">
        <v>105</v>
      </c>
      <c r="L48" t="s">
        <v>193</v>
      </c>
      <c r="M48" t="s">
        <v>176</v>
      </c>
      <c r="N48" t="s">
        <v>194</v>
      </c>
    </row>
    <row r="49" spans="2:14" x14ac:dyDescent="0.25">
      <c r="B49" s="11"/>
      <c r="C49" t="s">
        <v>168</v>
      </c>
      <c r="D49" t="s">
        <v>158</v>
      </c>
      <c r="G49" s="6" t="s">
        <v>82</v>
      </c>
      <c r="H49" t="s">
        <v>189</v>
      </c>
      <c r="I49" t="s">
        <v>195</v>
      </c>
      <c r="J49">
        <v>15</v>
      </c>
      <c r="M49" t="s">
        <v>180</v>
      </c>
      <c r="N49">
        <v>100</v>
      </c>
    </row>
    <row r="50" spans="2:14" x14ac:dyDescent="0.25">
      <c r="B50" s="11"/>
      <c r="C50" t="s">
        <v>169</v>
      </c>
      <c r="D50" t="s">
        <v>189</v>
      </c>
      <c r="G50" s="6" t="s">
        <v>172</v>
      </c>
      <c r="H50" t="s">
        <v>189</v>
      </c>
      <c r="I50" t="s">
        <v>196</v>
      </c>
      <c r="J50" t="s">
        <v>197</v>
      </c>
      <c r="M50" t="s">
        <v>198</v>
      </c>
      <c r="N50" t="s">
        <v>199</v>
      </c>
    </row>
    <row r="51" spans="2:14" x14ac:dyDescent="0.25">
      <c r="B51" s="11"/>
      <c r="C51" t="s">
        <v>276</v>
      </c>
      <c r="E51" s="3"/>
    </row>
    <row r="52" spans="2:14" x14ac:dyDescent="0.25">
      <c r="B52" s="11"/>
      <c r="C52" t="s">
        <v>278</v>
      </c>
      <c r="E52" s="3"/>
    </row>
    <row r="53" spans="2:14" x14ac:dyDescent="0.25">
      <c r="B53" s="11"/>
      <c r="C53" s="6" t="s">
        <v>83</v>
      </c>
      <c r="D53" t="s">
        <v>189</v>
      </c>
      <c r="E53" s="3"/>
    </row>
    <row r="54" spans="2:14" x14ac:dyDescent="0.25">
      <c r="B54" s="11"/>
    </row>
    <row r="55" spans="2:14" s="12" customFormat="1" x14ac:dyDescent="0.25">
      <c r="B55" s="13"/>
    </row>
    <row r="56" spans="2:14" x14ac:dyDescent="0.25">
      <c r="B56" s="11" t="s">
        <v>200</v>
      </c>
      <c r="C56" t="s">
        <v>166</v>
      </c>
      <c r="D56" t="s">
        <v>188</v>
      </c>
      <c r="G56" t="s">
        <v>171</v>
      </c>
      <c r="H56" t="s">
        <v>190</v>
      </c>
      <c r="I56" t="s">
        <v>195</v>
      </c>
      <c r="J56">
        <v>5</v>
      </c>
      <c r="K56" t="s">
        <v>105</v>
      </c>
      <c r="L56" t="s">
        <v>201</v>
      </c>
      <c r="M56" t="s">
        <v>206</v>
      </c>
      <c r="N56" t="s">
        <v>207</v>
      </c>
    </row>
    <row r="57" spans="2:14" x14ac:dyDescent="0.25">
      <c r="B57" s="11"/>
      <c r="C57" t="s">
        <v>168</v>
      </c>
      <c r="D57" t="s">
        <v>158</v>
      </c>
      <c r="G57" s="6" t="s">
        <v>82</v>
      </c>
      <c r="H57" t="s">
        <v>190</v>
      </c>
      <c r="I57" t="s">
        <v>196</v>
      </c>
      <c r="J57" t="s">
        <v>197</v>
      </c>
      <c r="K57" t="s">
        <v>202</v>
      </c>
      <c r="L57" t="s">
        <v>203</v>
      </c>
      <c r="M57" t="s">
        <v>208</v>
      </c>
      <c r="N57">
        <v>50</v>
      </c>
    </row>
    <row r="58" spans="2:14" x14ac:dyDescent="0.25">
      <c r="B58" s="11"/>
      <c r="C58" t="s">
        <v>169</v>
      </c>
      <c r="D58" t="s">
        <v>189</v>
      </c>
      <c r="G58" s="6" t="s">
        <v>172</v>
      </c>
      <c r="H58">
        <v>4</v>
      </c>
      <c r="I58" t="s">
        <v>173</v>
      </c>
      <c r="J58">
        <v>2</v>
      </c>
      <c r="M58" t="s">
        <v>209</v>
      </c>
      <c r="N58" t="s">
        <v>199</v>
      </c>
    </row>
    <row r="59" spans="2:14" x14ac:dyDescent="0.25">
      <c r="B59" s="11"/>
      <c r="C59" s="7" t="s">
        <v>276</v>
      </c>
      <c r="E59" s="3"/>
      <c r="G59" t="s">
        <v>204</v>
      </c>
      <c r="H59" t="s">
        <v>205</v>
      </c>
      <c r="I59" t="s">
        <v>174</v>
      </c>
      <c r="J59" t="s">
        <v>197</v>
      </c>
    </row>
    <row r="60" spans="2:14" x14ac:dyDescent="0.25">
      <c r="B60" s="11"/>
      <c r="C60" s="7" t="s">
        <v>278</v>
      </c>
      <c r="E60" s="3"/>
    </row>
    <row r="61" spans="2:14" x14ac:dyDescent="0.25">
      <c r="B61" s="11"/>
      <c r="C61" s="6" t="s">
        <v>83</v>
      </c>
      <c r="D61" t="s">
        <v>89</v>
      </c>
      <c r="E61" s="3"/>
    </row>
    <row r="62" spans="2:14" x14ac:dyDescent="0.25">
      <c r="B62" s="11"/>
      <c r="E62" s="3"/>
    </row>
    <row r="63" spans="2:14" x14ac:dyDescent="0.25">
      <c r="B63" s="11"/>
    </row>
    <row r="64" spans="2:14" s="12" customFormat="1" x14ac:dyDescent="0.25">
      <c r="B64" s="13"/>
    </row>
    <row r="65" spans="2:14" x14ac:dyDescent="0.25">
      <c r="B65" s="11" t="s">
        <v>154</v>
      </c>
      <c r="C65" t="s">
        <v>166</v>
      </c>
      <c r="D65" t="s">
        <v>188</v>
      </c>
      <c r="I65" t="s">
        <v>117</v>
      </c>
      <c r="J65">
        <v>20</v>
      </c>
      <c r="K65" t="s">
        <v>105</v>
      </c>
      <c r="L65" t="s">
        <v>106</v>
      </c>
      <c r="M65" t="s">
        <v>176</v>
      </c>
      <c r="N65" t="s">
        <v>215</v>
      </c>
    </row>
    <row r="66" spans="2:14" x14ac:dyDescent="0.25">
      <c r="B66" s="11"/>
      <c r="C66" t="s">
        <v>168</v>
      </c>
      <c r="D66" t="s">
        <v>156</v>
      </c>
      <c r="I66" t="s">
        <v>95</v>
      </c>
      <c r="J66" t="s">
        <v>210</v>
      </c>
      <c r="K66" t="s">
        <v>211</v>
      </c>
      <c r="L66">
        <v>10</v>
      </c>
      <c r="M66" t="s">
        <v>179</v>
      </c>
      <c r="N66">
        <v>20</v>
      </c>
    </row>
    <row r="67" spans="2:14" x14ac:dyDescent="0.25">
      <c r="B67" s="11"/>
      <c r="C67" t="s">
        <v>169</v>
      </c>
      <c r="D67" t="s">
        <v>189</v>
      </c>
      <c r="K67" t="s">
        <v>212</v>
      </c>
      <c r="L67" t="s">
        <v>213</v>
      </c>
      <c r="M67" t="s">
        <v>179</v>
      </c>
      <c r="N67" t="s">
        <v>182</v>
      </c>
    </row>
    <row r="68" spans="2:14" x14ac:dyDescent="0.25">
      <c r="B68" s="11"/>
      <c r="C68" t="s">
        <v>276</v>
      </c>
      <c r="E68" s="3"/>
      <c r="K68" t="s">
        <v>489</v>
      </c>
    </row>
    <row r="69" spans="2:14" x14ac:dyDescent="0.25">
      <c r="B69" s="11"/>
      <c r="C69" t="s">
        <v>278</v>
      </c>
      <c r="E69" s="3"/>
    </row>
    <row r="70" spans="2:14" x14ac:dyDescent="0.25">
      <c r="B70" s="11"/>
      <c r="E70" s="3"/>
    </row>
    <row r="71" spans="2:14" x14ac:dyDescent="0.25">
      <c r="B71" s="11"/>
      <c r="E71" s="3"/>
    </row>
    <row r="72" spans="2:14" x14ac:dyDescent="0.25">
      <c r="B72" s="11"/>
      <c r="E72" s="3"/>
    </row>
    <row r="73" spans="2:14" x14ac:dyDescent="0.25">
      <c r="B73" s="11"/>
      <c r="E73" s="3"/>
    </row>
    <row r="74" spans="2:14" x14ac:dyDescent="0.25">
      <c r="B74" s="11"/>
      <c r="E74" s="3"/>
    </row>
    <row r="75" spans="2:14" x14ac:dyDescent="0.25">
      <c r="B75" s="11"/>
      <c r="E75" s="3"/>
    </row>
    <row r="76" spans="2:14" x14ac:dyDescent="0.25">
      <c r="B76" s="11"/>
    </row>
    <row r="77" spans="2:14" x14ac:dyDescent="0.25">
      <c r="B77" s="11"/>
    </row>
    <row r="78" spans="2:14" x14ac:dyDescent="0.25">
      <c r="B78" s="11"/>
    </row>
    <row r="79" spans="2:14" x14ac:dyDescent="0.25">
      <c r="B79" s="11"/>
    </row>
    <row r="80" spans="2:14" x14ac:dyDescent="0.25">
      <c r="B80" s="11"/>
    </row>
    <row r="81" spans="2:14" x14ac:dyDescent="0.25">
      <c r="B81" s="11"/>
    </row>
    <row r="82" spans="2:14" x14ac:dyDescent="0.25">
      <c r="B82" s="11"/>
    </row>
    <row r="83" spans="2:14" x14ac:dyDescent="0.25">
      <c r="B83" s="11"/>
    </row>
    <row r="84" spans="2:14" s="12" customFormat="1" x14ac:dyDescent="0.25">
      <c r="B84" s="13"/>
    </row>
    <row r="85" spans="2:14" x14ac:dyDescent="0.25">
      <c r="B85" t="s">
        <v>66</v>
      </c>
      <c r="C85" t="s">
        <v>284</v>
      </c>
      <c r="G85" t="s">
        <v>171</v>
      </c>
      <c r="H85" t="s">
        <v>275</v>
      </c>
      <c r="I85" t="s">
        <v>286</v>
      </c>
      <c r="K85" t="s">
        <v>287</v>
      </c>
      <c r="L85" t="s">
        <v>288</v>
      </c>
      <c r="M85" t="s">
        <v>176</v>
      </c>
      <c r="N85" t="s">
        <v>74</v>
      </c>
    </row>
    <row r="86" spans="2:14" x14ac:dyDescent="0.25">
      <c r="C86" t="s">
        <v>283</v>
      </c>
    </row>
    <row r="87" spans="2:14" x14ac:dyDescent="0.25">
      <c r="C87" t="s">
        <v>285</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52026-07E9-49B8-8CB7-8334FA7AF71B}">
  <dimension ref="A1:Q37"/>
  <sheetViews>
    <sheetView tabSelected="1" topLeftCell="A19" workbookViewId="0">
      <selection activeCell="B53" sqref="B53"/>
    </sheetView>
  </sheetViews>
  <sheetFormatPr baseColWidth="10" defaultRowHeight="15" x14ac:dyDescent="0.25"/>
  <cols>
    <col min="1" max="1" width="38.28515625" customWidth="1"/>
    <col min="2" max="2" width="29.140625" customWidth="1"/>
    <col min="11" max="11" width="24.140625" customWidth="1"/>
    <col min="12" max="12" width="17.85546875" customWidth="1"/>
    <col min="13" max="13" width="17" customWidth="1"/>
    <col min="14" max="14" width="17.5703125" customWidth="1"/>
  </cols>
  <sheetData>
    <row r="1" spans="1:17" x14ac:dyDescent="0.25">
      <c r="A1" t="s">
        <v>233</v>
      </c>
      <c r="B1" t="s">
        <v>1584</v>
      </c>
      <c r="C1" t="s">
        <v>1595</v>
      </c>
      <c r="D1" t="s">
        <v>1583</v>
      </c>
      <c r="E1" t="s">
        <v>1607</v>
      </c>
    </row>
    <row r="2" spans="1:17" x14ac:dyDescent="0.25">
      <c r="A2" t="s">
        <v>1587</v>
      </c>
      <c r="B2" t="s">
        <v>1585</v>
      </c>
      <c r="K2" t="s">
        <v>1586</v>
      </c>
    </row>
    <row r="4" spans="1:17" x14ac:dyDescent="0.25">
      <c r="A4" t="s">
        <v>993</v>
      </c>
      <c r="B4" t="s">
        <v>1597</v>
      </c>
      <c r="C4" t="s">
        <v>1596</v>
      </c>
      <c r="K4" s="3" t="s">
        <v>233</v>
      </c>
      <c r="L4" s="45" t="s">
        <v>617</v>
      </c>
      <c r="M4" s="45"/>
      <c r="N4" s="45"/>
    </row>
    <row r="5" spans="1:17" x14ac:dyDescent="0.25">
      <c r="K5" s="3"/>
      <c r="L5" s="3" t="s">
        <v>1599</v>
      </c>
      <c r="M5" s="3" t="s">
        <v>1600</v>
      </c>
      <c r="N5" s="3" t="s">
        <v>1</v>
      </c>
      <c r="O5" s="3" t="s">
        <v>273</v>
      </c>
      <c r="Q5" t="s">
        <v>13</v>
      </c>
    </row>
    <row r="6" spans="1:17" x14ac:dyDescent="0.25">
      <c r="A6" t="s">
        <v>1603</v>
      </c>
      <c r="B6" t="s">
        <v>1604</v>
      </c>
      <c r="E6" t="s">
        <v>1608</v>
      </c>
      <c r="K6" s="10" t="s">
        <v>262</v>
      </c>
      <c r="L6" t="s">
        <v>1591</v>
      </c>
      <c r="M6" t="s">
        <v>1592</v>
      </c>
      <c r="Q6" t="s">
        <v>14</v>
      </c>
    </row>
    <row r="7" spans="1:17" x14ac:dyDescent="0.25">
      <c r="A7" t="s">
        <v>1605</v>
      </c>
      <c r="B7" t="s">
        <v>1606</v>
      </c>
      <c r="E7" t="s">
        <v>1609</v>
      </c>
      <c r="K7" s="10" t="s">
        <v>1590</v>
      </c>
      <c r="L7" t="s">
        <v>1588</v>
      </c>
      <c r="M7" t="s">
        <v>1589</v>
      </c>
      <c r="Q7" t="s">
        <v>22</v>
      </c>
    </row>
    <row r="8" spans="1:17" x14ac:dyDescent="0.25">
      <c r="A8" t="s">
        <v>1605</v>
      </c>
      <c r="B8" t="s">
        <v>1621</v>
      </c>
      <c r="E8" t="s">
        <v>1651</v>
      </c>
      <c r="K8" s="10" t="s">
        <v>407</v>
      </c>
      <c r="L8" t="s">
        <v>1593</v>
      </c>
      <c r="M8" t="s">
        <v>1593</v>
      </c>
      <c r="N8" t="s">
        <v>1593</v>
      </c>
      <c r="Q8" t="s">
        <v>24</v>
      </c>
    </row>
    <row r="9" spans="1:17" x14ac:dyDescent="0.25">
      <c r="A9" t="s">
        <v>1622</v>
      </c>
      <c r="B9" t="s">
        <v>1637</v>
      </c>
      <c r="K9" s="10" t="s">
        <v>955</v>
      </c>
      <c r="M9" t="s">
        <v>1598</v>
      </c>
      <c r="Q9" t="s">
        <v>26</v>
      </c>
    </row>
    <row r="10" spans="1:17" x14ac:dyDescent="0.25">
      <c r="A10" t="s">
        <v>1623</v>
      </c>
      <c r="B10" t="s">
        <v>1638</v>
      </c>
      <c r="K10" s="10" t="s">
        <v>992</v>
      </c>
      <c r="M10" t="s">
        <v>1597</v>
      </c>
      <c r="Q10" t="s">
        <v>28</v>
      </c>
    </row>
    <row r="11" spans="1:17" x14ac:dyDescent="0.25">
      <c r="A11" t="s">
        <v>1624</v>
      </c>
      <c r="B11" t="s">
        <v>1639</v>
      </c>
      <c r="K11" s="10" t="s">
        <v>1594</v>
      </c>
      <c r="M11" t="s">
        <v>14</v>
      </c>
    </row>
    <row r="12" spans="1:17" x14ac:dyDescent="0.25">
      <c r="A12" t="s">
        <v>1625</v>
      </c>
      <c r="B12" t="s">
        <v>1640</v>
      </c>
      <c r="K12" s="10" t="s">
        <v>2</v>
      </c>
    </row>
    <row r="13" spans="1:17" x14ac:dyDescent="0.25">
      <c r="A13" t="s">
        <v>1626</v>
      </c>
      <c r="B13" t="s">
        <v>1640</v>
      </c>
      <c r="K13" s="10" t="s">
        <v>3</v>
      </c>
    </row>
    <row r="14" spans="1:17" x14ac:dyDescent="0.25">
      <c r="A14" t="s">
        <v>1627</v>
      </c>
      <c r="B14" t="s">
        <v>1641</v>
      </c>
      <c r="K14" s="10" t="s">
        <v>609</v>
      </c>
      <c r="L14" t="s">
        <v>1593</v>
      </c>
      <c r="M14" t="s">
        <v>1593</v>
      </c>
      <c r="N14" t="s">
        <v>1593</v>
      </c>
      <c r="O14" t="s">
        <v>1601</v>
      </c>
    </row>
    <row r="15" spans="1:17" x14ac:dyDescent="0.25">
      <c r="A15" t="s">
        <v>1628</v>
      </c>
      <c r="B15" t="s">
        <v>1642</v>
      </c>
      <c r="E15" t="s">
        <v>1643</v>
      </c>
      <c r="K15" s="10" t="s">
        <v>1610</v>
      </c>
      <c r="N15" t="s">
        <v>13</v>
      </c>
      <c r="O15" t="s">
        <v>1602</v>
      </c>
    </row>
    <row r="16" spans="1:17" x14ac:dyDescent="0.25">
      <c r="A16" t="s">
        <v>1629</v>
      </c>
      <c r="B16" t="s">
        <v>1644</v>
      </c>
      <c r="K16" s="10" t="s">
        <v>1611</v>
      </c>
    </row>
    <row r="17" spans="1:15" x14ac:dyDescent="0.25">
      <c r="A17" t="s">
        <v>1630</v>
      </c>
      <c r="B17" t="s">
        <v>1653</v>
      </c>
      <c r="D17" t="s">
        <v>1652</v>
      </c>
      <c r="K17" s="10" t="s">
        <v>1612</v>
      </c>
      <c r="M17" t="s">
        <v>893</v>
      </c>
    </row>
    <row r="18" spans="1:15" x14ac:dyDescent="0.25">
      <c r="A18" t="s">
        <v>1631</v>
      </c>
      <c r="B18" t="s">
        <v>1674</v>
      </c>
      <c r="E18" t="s">
        <v>1673</v>
      </c>
      <c r="K18" s="10" t="s">
        <v>1613</v>
      </c>
      <c r="M18" t="s">
        <v>1614</v>
      </c>
      <c r="N18" t="s">
        <v>1615</v>
      </c>
    </row>
    <row r="19" spans="1:15" x14ac:dyDescent="0.25">
      <c r="A19" t="s">
        <v>1632</v>
      </c>
      <c r="B19" t="s">
        <v>1675</v>
      </c>
      <c r="K19" s="10" t="s">
        <v>1272</v>
      </c>
      <c r="N19" t="s">
        <v>1616</v>
      </c>
      <c r="O19" t="s">
        <v>1620</v>
      </c>
    </row>
    <row r="20" spans="1:15" x14ac:dyDescent="0.25">
      <c r="A20" t="s">
        <v>1633</v>
      </c>
      <c r="B20" t="s">
        <v>1654</v>
      </c>
      <c r="K20" s="10" t="s">
        <v>1617</v>
      </c>
      <c r="M20" t="s">
        <v>1619</v>
      </c>
      <c r="N20" t="s">
        <v>1618</v>
      </c>
    </row>
    <row r="21" spans="1:15" x14ac:dyDescent="0.25">
      <c r="A21" t="s">
        <v>778</v>
      </c>
      <c r="B21" t="s">
        <v>1677</v>
      </c>
      <c r="D21" t="s">
        <v>1657</v>
      </c>
      <c r="K21" s="10" t="s">
        <v>1663</v>
      </c>
      <c r="M21" t="s">
        <v>28</v>
      </c>
    </row>
    <row r="22" spans="1:15" x14ac:dyDescent="0.25">
      <c r="A22" t="s">
        <v>1634</v>
      </c>
      <c r="B22" t="s">
        <v>1639</v>
      </c>
    </row>
    <row r="23" spans="1:15" x14ac:dyDescent="0.25">
      <c r="A23" s="7" t="s">
        <v>1635</v>
      </c>
      <c r="E23" t="s">
        <v>1658</v>
      </c>
    </row>
    <row r="24" spans="1:15" x14ac:dyDescent="0.25">
      <c r="A24" t="s">
        <v>1636</v>
      </c>
      <c r="B24" t="s">
        <v>1659</v>
      </c>
      <c r="E24" t="s">
        <v>1660</v>
      </c>
    </row>
    <row r="25" spans="1:15" x14ac:dyDescent="0.25">
      <c r="A25" t="s">
        <v>1642</v>
      </c>
      <c r="B25" t="s">
        <v>1645</v>
      </c>
      <c r="E25" t="s">
        <v>1647</v>
      </c>
    </row>
    <row r="26" spans="1:15" x14ac:dyDescent="0.25">
      <c r="A26" t="s">
        <v>1645</v>
      </c>
      <c r="B26" t="s">
        <v>1646</v>
      </c>
      <c r="E26" t="s">
        <v>1648</v>
      </c>
    </row>
    <row r="27" spans="1:15" x14ac:dyDescent="0.25">
      <c r="A27" t="s">
        <v>1603</v>
      </c>
      <c r="B27" t="s">
        <v>1649</v>
      </c>
      <c r="E27" t="s">
        <v>1650</v>
      </c>
    </row>
    <row r="28" spans="1:15" x14ac:dyDescent="0.25">
      <c r="A28" t="s">
        <v>1655</v>
      </c>
      <c r="B28" t="s">
        <v>1645</v>
      </c>
      <c r="E28" t="s">
        <v>1656</v>
      </c>
    </row>
    <row r="29" spans="1:15" x14ac:dyDescent="0.25">
      <c r="A29" t="s">
        <v>1661</v>
      </c>
      <c r="B29" t="s">
        <v>1662</v>
      </c>
    </row>
    <row r="30" spans="1:15" x14ac:dyDescent="0.25">
      <c r="A30" t="s">
        <v>1641</v>
      </c>
      <c r="B30" t="s">
        <v>1664</v>
      </c>
    </row>
    <row r="31" spans="1:15" x14ac:dyDescent="0.25">
      <c r="A31" t="s">
        <v>1665</v>
      </c>
      <c r="B31" t="s">
        <v>1666</v>
      </c>
    </row>
    <row r="32" spans="1:15" x14ac:dyDescent="0.25">
      <c r="A32" t="s">
        <v>1667</v>
      </c>
      <c r="B32" t="s">
        <v>1668</v>
      </c>
      <c r="E32" t="s">
        <v>1669</v>
      </c>
    </row>
    <row r="33" spans="1:5" x14ac:dyDescent="0.25">
      <c r="A33" t="s">
        <v>1670</v>
      </c>
      <c r="B33" t="s">
        <v>1671</v>
      </c>
      <c r="E33" t="s">
        <v>1669</v>
      </c>
    </row>
    <row r="34" spans="1:5" x14ac:dyDescent="0.25">
      <c r="A34" t="s">
        <v>1672</v>
      </c>
      <c r="B34" t="s">
        <v>1668</v>
      </c>
      <c r="E34" t="s">
        <v>1669</v>
      </c>
    </row>
    <row r="35" spans="1:5" x14ac:dyDescent="0.25">
      <c r="A35" t="s">
        <v>1675</v>
      </c>
      <c r="B35" t="s">
        <v>1676</v>
      </c>
    </row>
    <row r="36" spans="1:5" x14ac:dyDescent="0.25">
      <c r="A36" t="s">
        <v>1678</v>
      </c>
      <c r="B36" t="s">
        <v>1679</v>
      </c>
    </row>
    <row r="37" spans="1:5" x14ac:dyDescent="0.25">
      <c r="A37" t="s">
        <v>1680</v>
      </c>
      <c r="B37" t="s">
        <v>1681</v>
      </c>
      <c r="E37" t="s">
        <v>1682</v>
      </c>
    </row>
  </sheetData>
  <mergeCells count="1">
    <mergeCell ref="L4:N4"/>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A3" t="s">
        <v>409</v>
      </c>
      <c r="B3" t="s">
        <v>427</v>
      </c>
      <c r="C3" t="s">
        <v>431</v>
      </c>
      <c r="D3" t="s">
        <v>444</v>
      </c>
      <c r="E3" t="s">
        <v>435</v>
      </c>
      <c r="G3" t="s">
        <v>82</v>
      </c>
      <c r="I3" s="7" t="s">
        <v>133</v>
      </c>
      <c r="K3" s="7" t="s">
        <v>452</v>
      </c>
    </row>
    <row r="4" spans="1:14" x14ac:dyDescent="0.25">
      <c r="C4" t="s">
        <v>433</v>
      </c>
      <c r="D4" t="s">
        <v>434</v>
      </c>
      <c r="E4" t="s">
        <v>467</v>
      </c>
      <c r="G4" t="s">
        <v>436</v>
      </c>
      <c r="I4" s="7" t="s">
        <v>96</v>
      </c>
      <c r="M4" s="7" t="s">
        <v>453</v>
      </c>
      <c r="N4" t="s">
        <v>454</v>
      </c>
    </row>
    <row r="5" spans="1:14" x14ac:dyDescent="0.25">
      <c r="E5" t="s">
        <v>468</v>
      </c>
      <c r="G5" t="s">
        <v>437</v>
      </c>
      <c r="I5" s="7" t="s">
        <v>440</v>
      </c>
    </row>
    <row r="6" spans="1:14" x14ac:dyDescent="0.25">
      <c r="E6" t="s">
        <v>466</v>
      </c>
      <c r="G6" t="s">
        <v>438</v>
      </c>
    </row>
    <row r="7" spans="1:14" x14ac:dyDescent="0.25">
      <c r="E7" t="s">
        <v>441</v>
      </c>
      <c r="G7" t="s">
        <v>439</v>
      </c>
    </row>
    <row r="8" spans="1:14" x14ac:dyDescent="0.25">
      <c r="E8" t="s">
        <v>442</v>
      </c>
      <c r="F8" t="s">
        <v>443</v>
      </c>
    </row>
    <row r="10" spans="1:14" s="12" customFormat="1" x14ac:dyDescent="0.25"/>
    <row r="11" spans="1:14" x14ac:dyDescent="0.25">
      <c r="B11" t="s">
        <v>428</v>
      </c>
      <c r="C11" t="s">
        <v>455</v>
      </c>
    </row>
    <row r="16" spans="1:14" s="12" customFormat="1" x14ac:dyDescent="0.25"/>
    <row r="17" spans="2:14" x14ac:dyDescent="0.25">
      <c r="B17" t="s">
        <v>16</v>
      </c>
      <c r="C17" t="s">
        <v>431</v>
      </c>
      <c r="D17" t="s">
        <v>469</v>
      </c>
      <c r="E17" t="s">
        <v>88</v>
      </c>
      <c r="F17" t="s">
        <v>465</v>
      </c>
      <c r="G17" t="s">
        <v>82</v>
      </c>
    </row>
    <row r="18" spans="2:14" x14ac:dyDescent="0.25">
      <c r="C18" t="s">
        <v>83</v>
      </c>
      <c r="D18" t="s">
        <v>456</v>
      </c>
      <c r="E18" t="s">
        <v>470</v>
      </c>
      <c r="F18" t="s">
        <v>465</v>
      </c>
    </row>
    <row r="19" spans="2:14" x14ac:dyDescent="0.25">
      <c r="C19" t="s">
        <v>457</v>
      </c>
      <c r="D19" t="s">
        <v>458</v>
      </c>
    </row>
    <row r="28" spans="2:14" s="12" customFormat="1" x14ac:dyDescent="0.25"/>
    <row r="29" spans="2:14" x14ac:dyDescent="0.25">
      <c r="B29" t="s">
        <v>416</v>
      </c>
      <c r="C29" t="s">
        <v>431</v>
      </c>
      <c r="G29" t="s">
        <v>82</v>
      </c>
      <c r="I29" t="s">
        <v>117</v>
      </c>
      <c r="K29" t="s">
        <v>478</v>
      </c>
      <c r="L29" t="s">
        <v>479</v>
      </c>
      <c r="M29" t="s">
        <v>476</v>
      </c>
      <c r="N29" t="s">
        <v>477</v>
      </c>
    </row>
    <row r="30" spans="2:14" x14ac:dyDescent="0.25">
      <c r="C30" t="s">
        <v>83</v>
      </c>
      <c r="D30" t="s">
        <v>480</v>
      </c>
      <c r="K30" s="7" t="s">
        <v>481</v>
      </c>
    </row>
    <row r="31" spans="2:14" x14ac:dyDescent="0.25">
      <c r="K31" s="7" t="s">
        <v>482</v>
      </c>
    </row>
    <row r="34" spans="2:7" s="12" customFormat="1" x14ac:dyDescent="0.25"/>
    <row r="35" spans="2:7" x14ac:dyDescent="0.25">
      <c r="B35" t="s">
        <v>429</v>
      </c>
      <c r="C35" t="s">
        <v>431</v>
      </c>
      <c r="D35" t="s">
        <v>485</v>
      </c>
      <c r="E35" t="s">
        <v>471</v>
      </c>
      <c r="F35" t="s">
        <v>472</v>
      </c>
      <c r="G35" t="s">
        <v>82</v>
      </c>
    </row>
    <row r="36" spans="2:7" x14ac:dyDescent="0.25">
      <c r="C36" t="s">
        <v>483</v>
      </c>
      <c r="D36" t="s">
        <v>484</v>
      </c>
    </row>
    <row r="37" spans="2:7" x14ac:dyDescent="0.25">
      <c r="C37" t="s">
        <v>83</v>
      </c>
    </row>
    <row r="39" spans="2:7" s="12" customFormat="1" x14ac:dyDescent="0.25"/>
    <row r="40" spans="2:7" x14ac:dyDescent="0.25">
      <c r="B40" t="s">
        <v>430</v>
      </c>
      <c r="C40" t="s">
        <v>431</v>
      </c>
      <c r="E40" t="s">
        <v>474</v>
      </c>
      <c r="F40" t="s">
        <v>475</v>
      </c>
      <c r="G40" t="s">
        <v>82</v>
      </c>
    </row>
    <row r="41" spans="2:7" x14ac:dyDescent="0.25">
      <c r="C41" t="s">
        <v>483</v>
      </c>
    </row>
    <row r="42" spans="2:7" x14ac:dyDescent="0.25">
      <c r="C42" t="s">
        <v>83</v>
      </c>
    </row>
    <row r="44" spans="2:7" s="12" customFormat="1" x14ac:dyDescent="0.25"/>
    <row r="45" spans="2:7" x14ac:dyDescent="0.25">
      <c r="B45" t="s">
        <v>412</v>
      </c>
      <c r="C45" t="s">
        <v>431</v>
      </c>
      <c r="E45" t="s">
        <v>487</v>
      </c>
      <c r="G45" t="s">
        <v>82</v>
      </c>
    </row>
    <row r="46" spans="2:7" x14ac:dyDescent="0.25">
      <c r="C46" t="s">
        <v>83</v>
      </c>
      <c r="E46" t="s">
        <v>486</v>
      </c>
    </row>
    <row r="48" spans="2:7" s="12" customFormat="1" x14ac:dyDescent="0.25"/>
    <row r="49" spans="1:14" x14ac:dyDescent="0.25">
      <c r="B49" t="s">
        <v>445</v>
      </c>
      <c r="C49" t="s">
        <v>1155</v>
      </c>
      <c r="E49" t="s">
        <v>1152</v>
      </c>
      <c r="F49" t="s">
        <v>1153</v>
      </c>
      <c r="G49" t="s">
        <v>1154</v>
      </c>
      <c r="H49" t="s">
        <v>752</v>
      </c>
      <c r="I49" t="s">
        <v>133</v>
      </c>
      <c r="K49" t="s">
        <v>447</v>
      </c>
      <c r="L49" t="s">
        <v>448</v>
      </c>
      <c r="M49" t="s">
        <v>108</v>
      </c>
      <c r="N49" t="s">
        <v>477</v>
      </c>
    </row>
    <row r="50" spans="1:14" x14ac:dyDescent="0.25">
      <c r="B50" t="s">
        <v>446</v>
      </c>
      <c r="G50" t="s">
        <v>82</v>
      </c>
      <c r="H50" t="s">
        <v>1156</v>
      </c>
      <c r="I50" t="s">
        <v>450</v>
      </c>
      <c r="K50" t="s">
        <v>449</v>
      </c>
    </row>
    <row r="51" spans="1:14" x14ac:dyDescent="0.25">
      <c r="I51" t="s">
        <v>451</v>
      </c>
    </row>
    <row r="53" spans="1:14" s="12" customFormat="1" x14ac:dyDescent="0.25"/>
    <row r="54" spans="1:14" x14ac:dyDescent="0.25">
      <c r="A54" t="s">
        <v>1157</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zoomScale="85" zoomScaleNormal="85" workbookViewId="0">
      <pane ySplit="1" topLeftCell="A371" activePane="bottomLeft" state="frozen"/>
      <selection activeCell="F1" sqref="F1"/>
      <selection pane="bottomLeft" activeCell="D414" sqref="D414"/>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8"/>
  </cols>
  <sheetData>
    <row r="1" spans="1:19" s="26" customFormat="1" x14ac:dyDescent="0.25">
      <c r="A1" s="26" t="s">
        <v>12</v>
      </c>
      <c r="B1" s="26" t="s">
        <v>159</v>
      </c>
      <c r="C1" s="26" t="s">
        <v>258</v>
      </c>
      <c r="D1" s="26" t="s">
        <v>365</v>
      </c>
      <c r="E1" s="26" t="s">
        <v>807</v>
      </c>
      <c r="F1" s="26" t="s">
        <v>273</v>
      </c>
      <c r="G1" s="26" t="s">
        <v>1130</v>
      </c>
      <c r="H1" s="26" t="s">
        <v>1073</v>
      </c>
      <c r="I1" s="26" t="s">
        <v>1139</v>
      </c>
      <c r="J1" s="26" t="s">
        <v>376</v>
      </c>
      <c r="K1" s="26" t="s">
        <v>1076</v>
      </c>
      <c r="L1" s="26" t="s">
        <v>806</v>
      </c>
      <c r="M1" s="26" t="s">
        <v>364</v>
      </c>
      <c r="N1" s="26" t="s">
        <v>366</v>
      </c>
      <c r="O1" s="26" t="s">
        <v>369</v>
      </c>
      <c r="P1" s="26"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6" t="s">
        <v>1074</v>
      </c>
    </row>
    <row r="2" spans="1:19" s="28" customFormat="1" x14ac:dyDescent="0.25">
      <c r="A2" s="28" t="s">
        <v>1078</v>
      </c>
      <c r="P2" s="3" t="str">
        <f t="shared" si="0"/>
        <v/>
      </c>
    </row>
    <row r="3" spans="1:19" s="29" customFormat="1" x14ac:dyDescent="0.25">
      <c r="P3" s="29" t="str">
        <f t="shared" si="0"/>
        <v/>
      </c>
    </row>
    <row r="4" spans="1:19" x14ac:dyDescent="0.25">
      <c r="A4" s="8" t="s">
        <v>1079</v>
      </c>
      <c r="C4" t="s">
        <v>498</v>
      </c>
      <c r="D4" t="s">
        <v>497</v>
      </c>
      <c r="E4" t="s">
        <v>574</v>
      </c>
      <c r="K4" t="s">
        <v>1075</v>
      </c>
      <c r="P4" s="8" t="str">
        <f t="shared" si="0"/>
        <v>"@id": "",</v>
      </c>
    </row>
    <row r="5" spans="1:19" x14ac:dyDescent="0.25">
      <c r="A5" s="8"/>
      <c r="C5" t="s">
        <v>225</v>
      </c>
      <c r="D5" t="s">
        <v>497</v>
      </c>
      <c r="E5" t="s">
        <v>575</v>
      </c>
      <c r="P5" s="8" t="str">
        <f t="shared" si="0"/>
        <v>"@type": "",</v>
      </c>
    </row>
    <row r="6" spans="1:19" ht="60" x14ac:dyDescent="0.25">
      <c r="A6" s="8"/>
      <c r="C6" t="s">
        <v>571</v>
      </c>
      <c r="D6" t="s">
        <v>573</v>
      </c>
      <c r="E6" s="17" t="s">
        <v>577</v>
      </c>
      <c r="H6" t="s">
        <v>233</v>
      </c>
      <c r="L6" s="17"/>
      <c r="P6" s="8" t="str">
        <f t="shared" si="0"/>
        <v>"dcterms:conformsTo": 
{
"@id": "#"
}</v>
      </c>
      <c r="S6" s="17"/>
    </row>
    <row r="7" spans="1:19" ht="45" x14ac:dyDescent="0.25">
      <c r="A7" s="8"/>
      <c r="C7" t="s">
        <v>572</v>
      </c>
      <c r="D7" t="s">
        <v>492</v>
      </c>
      <c r="E7" s="17" t="s">
        <v>578</v>
      </c>
      <c r="H7" t="s">
        <v>368</v>
      </c>
      <c r="L7" s="17"/>
      <c r="P7" s="8" t="str">
        <f t="shared" si="0"/>
        <v>"schema:about": 
[
{
"@id": "#"
},
{
"@id": "#"
}
],</v>
      </c>
    </row>
    <row r="8" spans="1:19" x14ac:dyDescent="0.25">
      <c r="A8" s="8"/>
      <c r="P8" s="8" t="str">
        <f t="shared" si="0"/>
        <v/>
      </c>
    </row>
    <row r="9" spans="1:19" x14ac:dyDescent="0.25">
      <c r="A9" s="8"/>
      <c r="E9" t="s">
        <v>576</v>
      </c>
      <c r="P9" s="8" t="str">
        <f t="shared" si="0"/>
        <v/>
      </c>
    </row>
    <row r="10" spans="1:19" s="29" customFormat="1" x14ac:dyDescent="0.25">
      <c r="P10" s="29" t="str">
        <f t="shared" si="0"/>
        <v/>
      </c>
    </row>
    <row r="11" spans="1:19" x14ac:dyDescent="0.25">
      <c r="A11" s="8" t="s">
        <v>263</v>
      </c>
      <c r="C11" t="s">
        <v>498</v>
      </c>
      <c r="D11" t="s">
        <v>497</v>
      </c>
      <c r="P11" s="8" t="str">
        <f t="shared" si="0"/>
        <v>"@id": "",</v>
      </c>
    </row>
    <row r="12" spans="1:19" x14ac:dyDescent="0.25">
      <c r="A12" s="8"/>
      <c r="C12" t="s">
        <v>225</v>
      </c>
      <c r="D12" t="s">
        <v>497</v>
      </c>
      <c r="E12" t="s">
        <v>263</v>
      </c>
      <c r="P12" s="8" t="str">
        <f t="shared" si="0"/>
        <v>"@type": "",</v>
      </c>
    </row>
    <row r="13" spans="1:19" x14ac:dyDescent="0.25">
      <c r="A13" s="8"/>
      <c r="C13" t="s">
        <v>223</v>
      </c>
      <c r="D13" t="s">
        <v>492</v>
      </c>
      <c r="H13" t="s">
        <v>229</v>
      </c>
      <c r="P13" s="8" t="str">
        <f t="shared" si="0"/>
        <v>"schema:name": 
[
{
"@id": "#"
},
{
"@id": "#"
}
],</v>
      </c>
    </row>
    <row r="14" spans="1:19" x14ac:dyDescent="0.25">
      <c r="A14" s="8"/>
      <c r="C14" t="s">
        <v>264</v>
      </c>
      <c r="D14" t="s">
        <v>492</v>
      </c>
      <c r="E14" t="s">
        <v>629</v>
      </c>
      <c r="P14" s="8" t="str">
        <f t="shared" si="0"/>
        <v>"schema:description": "",</v>
      </c>
    </row>
    <row r="15" spans="1:19" x14ac:dyDescent="0.25">
      <c r="A15" s="8"/>
      <c r="C15" t="s">
        <v>265</v>
      </c>
      <c r="D15" t="s">
        <v>492</v>
      </c>
      <c r="H15" t="s">
        <v>233</v>
      </c>
      <c r="P15" s="8" t="str">
        <f t="shared" si="0"/>
        <v>"schema:creator": 
{
"@id": "#"
}</v>
      </c>
    </row>
    <row r="16" spans="1:19" x14ac:dyDescent="0.25">
      <c r="A16" s="8"/>
      <c r="C16" t="s">
        <v>11</v>
      </c>
      <c r="D16" t="s">
        <v>492</v>
      </c>
      <c r="E16" t="s">
        <v>266</v>
      </c>
      <c r="F16" t="s">
        <v>490</v>
      </c>
      <c r="P16" s="8" t="str">
        <f t="shared" si="0"/>
        <v>"schema:hasPart": "",</v>
      </c>
    </row>
    <row r="17" spans="1:16" x14ac:dyDescent="0.25">
      <c r="A17" s="8"/>
      <c r="C17" t="s">
        <v>493</v>
      </c>
      <c r="D17" t="s">
        <v>492</v>
      </c>
      <c r="H17" t="s">
        <v>629</v>
      </c>
      <c r="P17" s="8" t="str">
        <f t="shared" si="0"/>
        <v>"schema:dateCreated": "",</v>
      </c>
    </row>
    <row r="18" spans="1:16" x14ac:dyDescent="0.25">
      <c r="A18" s="8"/>
      <c r="C18" t="s">
        <v>494</v>
      </c>
      <c r="D18" t="s">
        <v>492</v>
      </c>
      <c r="P18" s="8" t="str">
        <f t="shared" si="0"/>
        <v>"schema:dateModified": "",</v>
      </c>
    </row>
    <row r="19" spans="1:16" x14ac:dyDescent="0.25">
      <c r="A19" s="8"/>
      <c r="C19" t="s">
        <v>495</v>
      </c>
      <c r="D19" t="s">
        <v>492</v>
      </c>
      <c r="P19" s="8" t="str">
        <f t="shared" si="0"/>
        <v>"schema:license": "",</v>
      </c>
    </row>
    <row r="20" spans="1:16" x14ac:dyDescent="0.25">
      <c r="A20" s="8"/>
      <c r="P20" s="8" t="str">
        <f t="shared" si="0"/>
        <v/>
      </c>
    </row>
    <row r="21" spans="1:16" s="3" customFormat="1" x14ac:dyDescent="0.25">
      <c r="A21" s="28" t="s">
        <v>1111</v>
      </c>
      <c r="P21" s="2" t="str">
        <f t="shared" si="0"/>
        <v/>
      </c>
    </row>
    <row r="22" spans="1:16" s="10" customFormat="1" x14ac:dyDescent="0.25">
      <c r="A22" s="20"/>
      <c r="P22" s="20" t="str">
        <f t="shared" si="0"/>
        <v/>
      </c>
    </row>
    <row r="23" spans="1:16" x14ac:dyDescent="0.25">
      <c r="A23" s="8" t="s">
        <v>1107</v>
      </c>
      <c r="B23" t="s">
        <v>1108</v>
      </c>
      <c r="C23" t="s">
        <v>498</v>
      </c>
      <c r="D23" t="s">
        <v>497</v>
      </c>
      <c r="H23" t="s">
        <v>629</v>
      </c>
      <c r="K23" t="s">
        <v>1091</v>
      </c>
      <c r="P23" s="8" t="str">
        <f t="shared" si="0"/>
        <v>"@id": "",</v>
      </c>
    </row>
    <row r="24" spans="1:16" x14ac:dyDescent="0.25">
      <c r="A24" s="8" t="s">
        <v>1112</v>
      </c>
      <c r="C24" t="s">
        <v>225</v>
      </c>
      <c r="D24" t="s">
        <v>497</v>
      </c>
      <c r="E24" t="s">
        <v>1110</v>
      </c>
      <c r="H24" t="s">
        <v>1276</v>
      </c>
      <c r="K24" t="s">
        <v>1091</v>
      </c>
      <c r="P24" s="8" t="str">
        <f t="shared" si="0"/>
        <v>"@type": "",</v>
      </c>
    </row>
    <row r="25" spans="1:16" x14ac:dyDescent="0.25">
      <c r="A25" s="8"/>
      <c r="C25" t="s">
        <v>223</v>
      </c>
      <c r="D25" t="s">
        <v>492</v>
      </c>
      <c r="H25" t="s">
        <v>629</v>
      </c>
      <c r="K25" t="s">
        <v>1091</v>
      </c>
      <c r="P25" s="8" t="str">
        <f t="shared" si="0"/>
        <v>"schema:name": "",</v>
      </c>
    </row>
    <row r="26" spans="1:16" x14ac:dyDescent="0.25">
      <c r="A26" s="8"/>
      <c r="C26" t="s">
        <v>264</v>
      </c>
      <c r="D26" t="s">
        <v>492</v>
      </c>
      <c r="H26" t="s">
        <v>629</v>
      </c>
      <c r="K26" t="s">
        <v>1092</v>
      </c>
      <c r="P26" s="8" t="str">
        <f t="shared" si="0"/>
        <v>"schema:description": "",</v>
      </c>
    </row>
    <row r="27" spans="1:16" x14ac:dyDescent="0.25">
      <c r="A27" s="8"/>
      <c r="C27" t="s">
        <v>839</v>
      </c>
      <c r="H27" t="s">
        <v>229</v>
      </c>
      <c r="P27" s="8" t="str">
        <f t="shared" si="0"/>
        <v>"ex:hasInstances": 
[
{
"@id": "#"
},
{
"@id": "#"
}
],</v>
      </c>
    </row>
    <row r="28" spans="1:16" x14ac:dyDescent="0.25">
      <c r="A28" s="8"/>
      <c r="P28" s="8" t="str">
        <f t="shared" si="0"/>
        <v/>
      </c>
    </row>
    <row r="29" spans="1:16" x14ac:dyDescent="0.25">
      <c r="A29" s="8"/>
      <c r="B29" t="s">
        <v>1109</v>
      </c>
      <c r="C29" t="s">
        <v>498</v>
      </c>
      <c r="D29" t="s">
        <v>497</v>
      </c>
      <c r="H29" t="s">
        <v>629</v>
      </c>
      <c r="K29" t="s">
        <v>1091</v>
      </c>
      <c r="P29" s="8" t="str">
        <f t="shared" si="0"/>
        <v>"@id": "",</v>
      </c>
    </row>
    <row r="30" spans="1:16" x14ac:dyDescent="0.25">
      <c r="A30" s="8"/>
      <c r="C30" t="s">
        <v>225</v>
      </c>
      <c r="D30" t="s">
        <v>497</v>
      </c>
      <c r="E30" t="s">
        <v>1110</v>
      </c>
      <c r="H30" t="s">
        <v>629</v>
      </c>
      <c r="K30" t="s">
        <v>1091</v>
      </c>
      <c r="P30" s="8" t="str">
        <f t="shared" si="0"/>
        <v>"@type": "",</v>
      </c>
    </row>
    <row r="31" spans="1:16" x14ac:dyDescent="0.25">
      <c r="A31" s="8"/>
      <c r="C31" t="s">
        <v>223</v>
      </c>
      <c r="D31" t="s">
        <v>492</v>
      </c>
      <c r="H31" t="s">
        <v>629</v>
      </c>
      <c r="K31" t="s">
        <v>1091</v>
      </c>
      <c r="P31" s="8" t="str">
        <f t="shared" si="0"/>
        <v>"schema:name": "",</v>
      </c>
    </row>
    <row r="32" spans="1:16" x14ac:dyDescent="0.25">
      <c r="A32" s="8"/>
      <c r="C32" t="s">
        <v>264</v>
      </c>
      <c r="D32" t="s">
        <v>492</v>
      </c>
      <c r="H32" t="s">
        <v>629</v>
      </c>
      <c r="K32" t="s">
        <v>1092</v>
      </c>
      <c r="P32" s="8" t="str">
        <f t="shared" si="0"/>
        <v>"schema:description": "",</v>
      </c>
    </row>
    <row r="33" spans="1:16" x14ac:dyDescent="0.25">
      <c r="A33" s="8"/>
      <c r="C33" t="s">
        <v>626</v>
      </c>
      <c r="H33" t="s">
        <v>1077</v>
      </c>
      <c r="P33" s="8" t="str">
        <f t="shared" si="0"/>
        <v>"ex:isInstanceOf": 
{
"@id": "#"
}</v>
      </c>
    </row>
    <row r="34" spans="1:16" x14ac:dyDescent="0.25">
      <c r="A34" s="8"/>
      <c r="P34" s="8" t="str">
        <f t="shared" si="0"/>
        <v/>
      </c>
    </row>
    <row r="35" spans="1:16" x14ac:dyDescent="0.25">
      <c r="A35" s="8"/>
      <c r="P35" s="8" t="str">
        <f t="shared" si="0"/>
        <v/>
      </c>
    </row>
    <row r="36" spans="1:16" s="3" customFormat="1" x14ac:dyDescent="0.25">
      <c r="A36" s="28" t="s">
        <v>1080</v>
      </c>
      <c r="P36" s="2" t="str">
        <f t="shared" si="0"/>
        <v/>
      </c>
    </row>
    <row r="37" spans="1:16" s="29" customFormat="1" x14ac:dyDescent="0.25">
      <c r="P37" s="29" t="str">
        <f t="shared" si="0"/>
        <v/>
      </c>
    </row>
    <row r="38" spans="1:16" x14ac:dyDescent="0.25">
      <c r="A38" s="8" t="s">
        <v>268</v>
      </c>
      <c r="C38" t="s">
        <v>498</v>
      </c>
      <c r="D38" t="s">
        <v>497</v>
      </c>
      <c r="P38" s="8" t="str">
        <f t="shared" si="0"/>
        <v>"@id": "",</v>
      </c>
    </row>
    <row r="39" spans="1:16" x14ac:dyDescent="0.25">
      <c r="A39" s="8"/>
      <c r="C39" t="s">
        <v>225</v>
      </c>
      <c r="D39" t="s">
        <v>497</v>
      </c>
      <c r="E39" t="s">
        <v>269</v>
      </c>
      <c r="P39" s="8" t="str">
        <f t="shared" si="0"/>
        <v>"@type": "",</v>
      </c>
    </row>
    <row r="40" spans="1:16" x14ac:dyDescent="0.25">
      <c r="A40" s="8"/>
      <c r="C40" t="s">
        <v>270</v>
      </c>
      <c r="E40" t="s">
        <v>367</v>
      </c>
      <c r="H40" t="s">
        <v>368</v>
      </c>
      <c r="I40" t="s">
        <v>299</v>
      </c>
      <c r="P40" s="8" t="str">
        <f t="shared" si="0"/>
        <v>"ex:hasPart/usedOntologies": 
[
{
"@id": "#"
},
{
"@id": "#"
}
],</v>
      </c>
    </row>
    <row r="41" spans="1:16" x14ac:dyDescent="0.25">
      <c r="A41" s="8"/>
      <c r="B41" t="s">
        <v>79</v>
      </c>
      <c r="P41" s="8" t="str">
        <f t="shared" si="0"/>
        <v/>
      </c>
    </row>
    <row r="42" spans="1:16" x14ac:dyDescent="0.25">
      <c r="A42" s="8"/>
      <c r="P42" s="8" t="str">
        <f t="shared" si="0"/>
        <v/>
      </c>
    </row>
    <row r="43" spans="1:16" x14ac:dyDescent="0.25">
      <c r="A43" s="8"/>
      <c r="P43" s="8" t="str">
        <f t="shared" si="0"/>
        <v/>
      </c>
    </row>
    <row r="44" spans="1:16" x14ac:dyDescent="0.25">
      <c r="A44" s="8"/>
      <c r="P44" s="8" t="str">
        <f t="shared" si="0"/>
        <v/>
      </c>
    </row>
    <row r="45" spans="1:16" x14ac:dyDescent="0.25">
      <c r="A45" s="8"/>
      <c r="P45" s="8" t="str">
        <f t="shared" si="0"/>
        <v/>
      </c>
    </row>
    <row r="46" spans="1:16" x14ac:dyDescent="0.25">
      <c r="A46" s="8"/>
      <c r="P46" s="8" t="str">
        <f t="shared" si="0"/>
        <v/>
      </c>
    </row>
    <row r="47" spans="1:16" s="29" customFormat="1" x14ac:dyDescent="0.25">
      <c r="P47" s="29" t="str">
        <f t="shared" si="0"/>
        <v/>
      </c>
    </row>
    <row r="48" spans="1:16" x14ac:dyDescent="0.25">
      <c r="A48" s="8" t="s">
        <v>299</v>
      </c>
      <c r="C48" t="s">
        <v>498</v>
      </c>
      <c r="D48" t="s">
        <v>497</v>
      </c>
      <c r="P48" s="8" t="str">
        <f t="shared" si="0"/>
        <v>"@id": "",</v>
      </c>
    </row>
    <row r="49" spans="1:16" x14ac:dyDescent="0.25">
      <c r="A49" s="8"/>
      <c r="C49" t="s">
        <v>225</v>
      </c>
      <c r="D49" t="s">
        <v>497</v>
      </c>
      <c r="E49" t="s">
        <v>299</v>
      </c>
      <c r="P49" s="8" t="str">
        <f t="shared" si="0"/>
        <v>"@type": "",</v>
      </c>
    </row>
    <row r="50" spans="1:16" x14ac:dyDescent="0.25">
      <c r="A50" s="8"/>
      <c r="C50" t="s">
        <v>223</v>
      </c>
      <c r="D50" t="s">
        <v>492</v>
      </c>
      <c r="E50" t="s">
        <v>300</v>
      </c>
      <c r="P50" s="8" t="str">
        <f t="shared" si="0"/>
        <v>"schema:name": "",</v>
      </c>
    </row>
    <row r="51" spans="1:16" x14ac:dyDescent="0.25">
      <c r="A51" s="8"/>
      <c r="C51" t="s">
        <v>264</v>
      </c>
      <c r="D51" t="s">
        <v>492</v>
      </c>
      <c r="P51" s="8" t="str">
        <f t="shared" si="0"/>
        <v>"schema:description": "",</v>
      </c>
    </row>
    <row r="52" spans="1:16" x14ac:dyDescent="0.25">
      <c r="A52" s="8"/>
      <c r="C52" t="s">
        <v>301</v>
      </c>
      <c r="E52" t="s">
        <v>302</v>
      </c>
      <c r="P52" s="8" t="str">
        <f t="shared" si="0"/>
        <v>"ex:namespace": "",</v>
      </c>
    </row>
    <row r="53" spans="1:16" x14ac:dyDescent="0.25">
      <c r="A53" s="8"/>
      <c r="C53" t="s">
        <v>303</v>
      </c>
      <c r="E53" s="9" t="s">
        <v>304</v>
      </c>
      <c r="F53" t="s">
        <v>585</v>
      </c>
      <c r="H53" s="9"/>
      <c r="J53" s="9"/>
      <c r="L53" s="9"/>
      <c r="M53" s="9"/>
      <c r="N53" s="9"/>
      <c r="O53" s="9"/>
      <c r="P53" s="8" t="str">
        <f t="shared" si="0"/>
        <v>"ex:usedVersion": "",</v>
      </c>
    </row>
    <row r="54" spans="1:16" x14ac:dyDescent="0.25">
      <c r="A54" s="8"/>
      <c r="C54" t="s">
        <v>305</v>
      </c>
      <c r="E54" t="s">
        <v>306</v>
      </c>
      <c r="P54" s="8" t="str">
        <f t="shared" si="0"/>
        <v>"ex:ontologyFile": "",</v>
      </c>
    </row>
    <row r="55" spans="1:16" x14ac:dyDescent="0.25">
      <c r="A55" s="8"/>
      <c r="C55" t="s">
        <v>582</v>
      </c>
      <c r="H55" t="s">
        <v>583</v>
      </c>
      <c r="M55" t="s">
        <v>584</v>
      </c>
      <c r="P55" s="8" t="str">
        <f t="shared" si="0"/>
        <v>"ex:lastAccessDate": "",</v>
      </c>
    </row>
    <row r="56" spans="1:16" x14ac:dyDescent="0.25">
      <c r="A56" s="8"/>
      <c r="P56" s="8" t="str">
        <f t="shared" si="0"/>
        <v/>
      </c>
    </row>
    <row r="57" spans="1:16" x14ac:dyDescent="0.25">
      <c r="A57" s="8"/>
      <c r="P57" s="8" t="str">
        <f t="shared" si="0"/>
        <v/>
      </c>
    </row>
    <row r="58" spans="1:16" x14ac:dyDescent="0.25">
      <c r="P58" s="8" t="str">
        <f t="shared" si="0"/>
        <v/>
      </c>
    </row>
    <row r="59" spans="1:16" s="31" customFormat="1" x14ac:dyDescent="0.25">
      <c r="A59" s="31" t="s">
        <v>1081</v>
      </c>
      <c r="P59" s="28" t="str">
        <f t="shared" si="0"/>
        <v/>
      </c>
    </row>
    <row r="60" spans="1:16" s="29" customFormat="1" x14ac:dyDescent="0.25">
      <c r="P60" s="29" t="str">
        <f t="shared" si="0"/>
        <v/>
      </c>
    </row>
    <row r="61" spans="1:16" x14ac:dyDescent="0.25">
      <c r="A61" s="8" t="s">
        <v>222</v>
      </c>
      <c r="C61" t="s">
        <v>498</v>
      </c>
      <c r="D61" t="s">
        <v>497</v>
      </c>
      <c r="P61" s="8" t="str">
        <f t="shared" si="0"/>
        <v>"@id": "",</v>
      </c>
    </row>
    <row r="62" spans="1:16" x14ac:dyDescent="0.25">
      <c r="A62" s="8"/>
      <c r="C62" t="s">
        <v>225</v>
      </c>
      <c r="D62" t="s">
        <v>497</v>
      </c>
      <c r="E62" t="s">
        <v>356</v>
      </c>
      <c r="P62" s="8" t="str">
        <f t="shared" si="0"/>
        <v>"@type": "",</v>
      </c>
    </row>
    <row r="63" spans="1:16" x14ac:dyDescent="0.25">
      <c r="A63" s="8"/>
      <c r="C63" t="s">
        <v>223</v>
      </c>
      <c r="D63" t="s">
        <v>492</v>
      </c>
      <c r="P63" s="8" t="str">
        <f t="shared" si="0"/>
        <v>"schema:name": "",</v>
      </c>
    </row>
    <row r="64" spans="1:16" x14ac:dyDescent="0.25">
      <c r="A64" s="8"/>
      <c r="C64" t="s">
        <v>224</v>
      </c>
      <c r="P64" s="8" t="str">
        <f t="shared" si="0"/>
        <v>"ex:assciatedOrganizations": "",</v>
      </c>
    </row>
    <row r="65" spans="1:16" x14ac:dyDescent="0.25">
      <c r="A65" s="8"/>
      <c r="C65" t="s">
        <v>405</v>
      </c>
      <c r="E65" t="s">
        <v>1060</v>
      </c>
      <c r="P65" s="8"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8"/>
      <c r="P66" s="8" t="str">
        <f t="shared" si="1"/>
        <v/>
      </c>
    </row>
    <row r="67" spans="1:16" x14ac:dyDescent="0.25">
      <c r="P67" s="8" t="str">
        <f t="shared" si="1"/>
        <v/>
      </c>
    </row>
    <row r="68" spans="1:16" x14ac:dyDescent="0.25">
      <c r="P68" s="8" t="str">
        <f t="shared" si="1"/>
        <v/>
      </c>
    </row>
    <row r="69" spans="1:16" x14ac:dyDescent="0.25">
      <c r="P69" s="8" t="str">
        <f t="shared" si="1"/>
        <v/>
      </c>
    </row>
    <row r="70" spans="1:16" s="31" customFormat="1" x14ac:dyDescent="0.25">
      <c r="A70" s="31" t="s">
        <v>1082</v>
      </c>
      <c r="P70" s="28" t="str">
        <f t="shared" si="1"/>
        <v/>
      </c>
    </row>
    <row r="71" spans="1:16" s="29" customFormat="1" x14ac:dyDescent="0.25">
      <c r="P71" s="29" t="str">
        <f t="shared" si="1"/>
        <v/>
      </c>
    </row>
    <row r="72" spans="1:16" x14ac:dyDescent="0.25">
      <c r="A72" s="33" t="s">
        <v>259</v>
      </c>
      <c r="C72" t="s">
        <v>498</v>
      </c>
      <c r="D72" t="s">
        <v>497</v>
      </c>
      <c r="H72" t="s">
        <v>629</v>
      </c>
      <c r="K72" t="s">
        <v>1091</v>
      </c>
      <c r="P72" s="8" t="str">
        <f t="shared" si="1"/>
        <v>"@id": "",</v>
      </c>
    </row>
    <row r="73" spans="1:16" x14ac:dyDescent="0.25">
      <c r="A73" s="8"/>
      <c r="C73" t="s">
        <v>225</v>
      </c>
      <c r="D73" t="s">
        <v>497</v>
      </c>
      <c r="E73" t="s">
        <v>259</v>
      </c>
      <c r="H73" t="s">
        <v>1276</v>
      </c>
      <c r="K73" t="s">
        <v>1091</v>
      </c>
      <c r="L73" t="s">
        <v>259</v>
      </c>
      <c r="P73" s="8" t="str">
        <f t="shared" si="1"/>
        <v>"@type": "File",</v>
      </c>
    </row>
    <row r="74" spans="1:16" x14ac:dyDescent="0.25">
      <c r="A74" s="8"/>
      <c r="C74" t="s">
        <v>223</v>
      </c>
      <c r="D74" t="s">
        <v>492</v>
      </c>
      <c r="H74" t="s">
        <v>629</v>
      </c>
      <c r="K74" t="s">
        <v>1091</v>
      </c>
      <c r="P74" s="8"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8"/>
      <c r="C75" t="s">
        <v>264</v>
      </c>
      <c r="D75" t="s">
        <v>492</v>
      </c>
      <c r="H75" t="s">
        <v>629</v>
      </c>
      <c r="K75" t="s">
        <v>1092</v>
      </c>
      <c r="P75" s="8"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8"/>
      <c r="C76" t="s">
        <v>884</v>
      </c>
      <c r="E76" t="s">
        <v>1496</v>
      </c>
      <c r="H76" t="s">
        <v>1507</v>
      </c>
      <c r="P76" s="8" t="str">
        <f t="shared" si="2"/>
        <v>"ex:storageLocation": "",</v>
      </c>
    </row>
    <row r="77" spans="1:16" x14ac:dyDescent="0.25">
      <c r="A77" s="8"/>
      <c r="C77" t="s">
        <v>265</v>
      </c>
      <c r="D77" t="s">
        <v>492</v>
      </c>
      <c r="H77" t="s">
        <v>1077</v>
      </c>
      <c r="I77" t="s">
        <v>356</v>
      </c>
      <c r="J77" t="s">
        <v>794</v>
      </c>
      <c r="P77" s="8" t="str">
        <f t="shared" si="2"/>
        <v>"schema:creator": 
{
"@id": "#"
}</v>
      </c>
    </row>
    <row r="78" spans="1:16" x14ac:dyDescent="0.25">
      <c r="A78" s="8"/>
      <c r="C78" t="s">
        <v>493</v>
      </c>
      <c r="D78" t="s">
        <v>492</v>
      </c>
      <c r="E78" t="s">
        <v>1508</v>
      </c>
      <c r="H78" t="s">
        <v>1553</v>
      </c>
      <c r="P78" s="8" t="str">
        <f t="shared" si="2"/>
        <v>"schema:dateCreated": 
{
"@value": "",
"@type": ""
},</v>
      </c>
    </row>
    <row r="79" spans="1:16" x14ac:dyDescent="0.25">
      <c r="A79" s="8"/>
      <c r="C79" t="s">
        <v>494</v>
      </c>
      <c r="D79" t="s">
        <v>492</v>
      </c>
      <c r="E79" t="s">
        <v>1508</v>
      </c>
      <c r="H79" t="s">
        <v>1553</v>
      </c>
      <c r="P79" s="8" t="str">
        <f t="shared" si="2"/>
        <v>"schema:dateModified": 
{
"@value": "",
"@type": ""
},</v>
      </c>
    </row>
    <row r="80" spans="1:16" x14ac:dyDescent="0.25">
      <c r="A80" s="8"/>
      <c r="C80" t="s">
        <v>226</v>
      </c>
      <c r="D80" t="s">
        <v>492</v>
      </c>
      <c r="E80" t="s">
        <v>227</v>
      </c>
      <c r="H80" t="s">
        <v>1276</v>
      </c>
      <c r="P80" s="8" t="str">
        <f t="shared" si="2"/>
        <v>"schema:encodingFormat": "",</v>
      </c>
    </row>
    <row r="81" spans="1:16" x14ac:dyDescent="0.25">
      <c r="A81" s="8"/>
      <c r="C81" t="s">
        <v>496</v>
      </c>
      <c r="D81" t="s">
        <v>492</v>
      </c>
      <c r="E81" t="s">
        <v>1497</v>
      </c>
      <c r="H81" t="s">
        <v>1506</v>
      </c>
      <c r="P81" s="8" t="str">
        <f t="shared" si="2"/>
        <v>"schema:contentSize": "",</v>
      </c>
    </row>
    <row r="82" spans="1:16" x14ac:dyDescent="0.25">
      <c r="A82" s="8"/>
      <c r="C82" s="8" t="s">
        <v>1503</v>
      </c>
      <c r="D82" s="8"/>
      <c r="E82" s="8" t="s">
        <v>1504</v>
      </c>
      <c r="F82" t="s">
        <v>869</v>
      </c>
      <c r="H82" s="8" t="s">
        <v>1098</v>
      </c>
      <c r="I82" s="8" t="s">
        <v>1505</v>
      </c>
      <c r="K82" t="s">
        <v>1092</v>
      </c>
      <c r="P82" s="8" t="str">
        <f t="shared" si="2"/>
        <v>"ex:generatedBySoftware": 
{
"@id": "#"
}</v>
      </c>
    </row>
    <row r="83" spans="1:16" x14ac:dyDescent="0.25">
      <c r="A83" s="8"/>
      <c r="C83" s="20" t="s">
        <v>11</v>
      </c>
      <c r="D83" s="8" t="s">
        <v>492</v>
      </c>
      <c r="E83" s="8" t="s">
        <v>1511</v>
      </c>
      <c r="H83" t="s">
        <v>229</v>
      </c>
      <c r="I83" t="s">
        <v>1262</v>
      </c>
      <c r="P83" s="8" t="str">
        <f t="shared" si="2"/>
        <v>"schema:hasPart": 
[
{
"@id": "#"
},
{
"@id": "#"
}
],</v>
      </c>
    </row>
    <row r="84" spans="1:16" x14ac:dyDescent="0.25">
      <c r="A84" s="8"/>
      <c r="C84" s="8"/>
      <c r="D84" s="8"/>
      <c r="E84" s="8"/>
      <c r="H84" s="8"/>
      <c r="I84" s="8"/>
      <c r="P84" s="8" t="str">
        <f t="shared" si="2"/>
        <v/>
      </c>
    </row>
    <row r="85" spans="1:16" x14ac:dyDescent="0.25">
      <c r="A85" s="8"/>
      <c r="P85" s="8" t="str">
        <f t="shared" si="2"/>
        <v/>
      </c>
    </row>
    <row r="86" spans="1:16" s="10" customFormat="1" x14ac:dyDescent="0.25">
      <c r="A86" s="20"/>
      <c r="P86" s="20" t="str">
        <f t="shared" si="2"/>
        <v/>
      </c>
    </row>
    <row r="87" spans="1:16" x14ac:dyDescent="0.25">
      <c r="A87" s="33" t="s">
        <v>1262</v>
      </c>
      <c r="C87" t="s">
        <v>498</v>
      </c>
      <c r="D87" t="s">
        <v>497</v>
      </c>
      <c r="H87" t="s">
        <v>629</v>
      </c>
      <c r="K87" t="s">
        <v>1091</v>
      </c>
      <c r="P87" s="8" t="str">
        <f t="shared" si="2"/>
        <v>"@id": "",</v>
      </c>
    </row>
    <row r="88" spans="1:16" x14ac:dyDescent="0.25">
      <c r="A88" s="8"/>
      <c r="C88" t="s">
        <v>225</v>
      </c>
      <c r="D88" t="s">
        <v>497</v>
      </c>
      <c r="E88" t="s">
        <v>1262</v>
      </c>
      <c r="H88" t="s">
        <v>1276</v>
      </c>
      <c r="K88" t="s">
        <v>1091</v>
      </c>
      <c r="L88" t="s">
        <v>1262</v>
      </c>
      <c r="P88" s="8" t="str">
        <f t="shared" si="2"/>
        <v>"@type": "Column",</v>
      </c>
    </row>
    <row r="89" spans="1:16" x14ac:dyDescent="0.25">
      <c r="A89" s="8"/>
      <c r="C89" t="s">
        <v>223</v>
      </c>
      <c r="D89" t="s">
        <v>492</v>
      </c>
      <c r="H89" t="s">
        <v>629</v>
      </c>
      <c r="K89" t="s">
        <v>1091</v>
      </c>
      <c r="P89" s="8" t="str">
        <f t="shared" si="2"/>
        <v>"schema:name": "",</v>
      </c>
    </row>
    <row r="90" spans="1:16" x14ac:dyDescent="0.25">
      <c r="A90" s="8"/>
      <c r="C90" t="s">
        <v>264</v>
      </c>
      <c r="D90" t="s">
        <v>492</v>
      </c>
      <c r="H90" t="s">
        <v>629</v>
      </c>
      <c r="K90" t="s">
        <v>1092</v>
      </c>
      <c r="P90" s="8" t="str">
        <f t="shared" si="2"/>
        <v>"schema:description": "",</v>
      </c>
    </row>
    <row r="91" spans="1:16" x14ac:dyDescent="0.25">
      <c r="A91" s="8"/>
      <c r="C91" t="s">
        <v>1498</v>
      </c>
      <c r="D91" t="s">
        <v>492</v>
      </c>
      <c r="E91" t="s">
        <v>871</v>
      </c>
      <c r="H91" t="s">
        <v>1098</v>
      </c>
      <c r="I91" t="s">
        <v>259</v>
      </c>
      <c r="P91" s="8" t="str">
        <f t="shared" si="2"/>
        <v>"schema:isPartOf": 
{
"@id": "#"
}</v>
      </c>
    </row>
    <row r="92" spans="1:16" x14ac:dyDescent="0.25">
      <c r="A92" s="8"/>
      <c r="C92" t="s">
        <v>870</v>
      </c>
      <c r="E92" t="s">
        <v>872</v>
      </c>
      <c r="F92" t="s">
        <v>1500</v>
      </c>
      <c r="H92" t="s">
        <v>629</v>
      </c>
      <c r="I92" t="s">
        <v>374</v>
      </c>
      <c r="P92" s="8" t="str">
        <f t="shared" si="2"/>
        <v>"ex:hasHeader": "",</v>
      </c>
    </row>
    <row r="93" spans="1:16" x14ac:dyDescent="0.25">
      <c r="A93" s="8"/>
      <c r="C93" t="s">
        <v>1512</v>
      </c>
      <c r="E93" t="s">
        <v>873</v>
      </c>
      <c r="F93" t="s">
        <v>1501</v>
      </c>
      <c r="H93" t="s">
        <v>1098</v>
      </c>
      <c r="I93" t="s">
        <v>357</v>
      </c>
      <c r="P93" s="8" t="str">
        <f t="shared" si="2"/>
        <v>"ex:isDataReferenceFor": 
{
"@id": "#"
}</v>
      </c>
    </row>
    <row r="94" spans="1:16" x14ac:dyDescent="0.25">
      <c r="A94" s="8"/>
      <c r="C94" s="8" t="s">
        <v>781</v>
      </c>
      <c r="D94" t="s">
        <v>614</v>
      </c>
      <c r="E94" t="s">
        <v>1502</v>
      </c>
      <c r="F94" t="s">
        <v>1499</v>
      </c>
      <c r="H94" t="s">
        <v>1276</v>
      </c>
      <c r="K94" t="s">
        <v>1092</v>
      </c>
      <c r="L94" t="s">
        <v>1278</v>
      </c>
      <c r="P94" s="8" t="str">
        <f t="shared" si="2"/>
        <v>"qudt:quantityKind": "quantitykind",</v>
      </c>
    </row>
    <row r="95" spans="1:16" x14ac:dyDescent="0.25">
      <c r="A95" s="8"/>
      <c r="C95" s="8" t="s">
        <v>628</v>
      </c>
      <c r="D95" t="s">
        <v>614</v>
      </c>
      <c r="E95" t="s">
        <v>1502</v>
      </c>
      <c r="F95" t="s">
        <v>1499</v>
      </c>
      <c r="H95" t="s">
        <v>1276</v>
      </c>
      <c r="K95" t="s">
        <v>1092</v>
      </c>
      <c r="L95" t="s">
        <v>230</v>
      </c>
      <c r="P95" s="8" t="str">
        <f t="shared" si="2"/>
        <v>"qudt:hasUnit": "unit",</v>
      </c>
    </row>
    <row r="96" spans="1:16" s="8" customFormat="1" x14ac:dyDescent="0.25">
      <c r="C96" s="8" t="s">
        <v>1509</v>
      </c>
      <c r="E96" s="8" t="s">
        <v>1510</v>
      </c>
      <c r="H96" s="8" t="s">
        <v>1098</v>
      </c>
      <c r="I96" s="8" t="s">
        <v>1262</v>
      </c>
      <c r="K96" s="8" t="s">
        <v>1092</v>
      </c>
      <c r="P96" s="8" t="str">
        <f t="shared" si="2"/>
        <v>"ex:hasTimeReference": 
{
"@id": "#"
}</v>
      </c>
    </row>
    <row r="97" spans="1:21" x14ac:dyDescent="0.25">
      <c r="A97" s="8"/>
      <c r="C97" s="7"/>
      <c r="P97" s="8" t="str">
        <f t="shared" si="2"/>
        <v/>
      </c>
    </row>
    <row r="98" spans="1:21" x14ac:dyDescent="0.25">
      <c r="A98" s="8"/>
      <c r="C98" s="7"/>
      <c r="P98" s="8" t="str">
        <f t="shared" si="2"/>
        <v/>
      </c>
    </row>
    <row r="99" spans="1:21" x14ac:dyDescent="0.25">
      <c r="A99" s="8"/>
      <c r="P99" s="8" t="str">
        <f t="shared" si="2"/>
        <v/>
      </c>
    </row>
    <row r="100" spans="1:21" x14ac:dyDescent="0.25">
      <c r="A100" s="8"/>
      <c r="P100" s="8" t="str">
        <f t="shared" si="2"/>
        <v/>
      </c>
    </row>
    <row r="101" spans="1:21" s="31" customFormat="1" x14ac:dyDescent="0.25">
      <c r="A101" s="31" t="s">
        <v>1083</v>
      </c>
      <c r="P101" s="28" t="str">
        <f t="shared" si="2"/>
        <v/>
      </c>
    </row>
    <row r="102" spans="1:21" s="29" customFormat="1" x14ac:dyDescent="0.25">
      <c r="P102" s="29" t="str">
        <f t="shared" si="2"/>
        <v/>
      </c>
    </row>
    <row r="103" spans="1:21" x14ac:dyDescent="0.25">
      <c r="A103" s="8" t="s">
        <v>260</v>
      </c>
      <c r="C103" t="s">
        <v>498</v>
      </c>
      <c r="D103" t="s">
        <v>497</v>
      </c>
      <c r="P103" s="8" t="str">
        <f t="shared" si="2"/>
        <v>"@id": "",</v>
      </c>
    </row>
    <row r="104" spans="1:21" x14ac:dyDescent="0.25">
      <c r="A104" s="8"/>
      <c r="C104" t="s">
        <v>225</v>
      </c>
      <c r="D104" t="s">
        <v>497</v>
      </c>
      <c r="E104" t="s">
        <v>307</v>
      </c>
      <c r="P104" s="8" t="str">
        <f t="shared" si="2"/>
        <v>"@type": "",</v>
      </c>
      <c r="T104" t="s">
        <v>324</v>
      </c>
      <c r="U104" t="s">
        <v>329</v>
      </c>
    </row>
    <row r="105" spans="1:21" x14ac:dyDescent="0.25">
      <c r="A105" s="8"/>
      <c r="C105" s="8" t="s">
        <v>308</v>
      </c>
      <c r="D105" s="8"/>
      <c r="E105" s="8" t="s">
        <v>309</v>
      </c>
      <c r="F105" t="s">
        <v>358</v>
      </c>
      <c r="H105" s="8" t="s">
        <v>795</v>
      </c>
      <c r="J105" s="8" t="s">
        <v>794</v>
      </c>
      <c r="L105" s="8"/>
      <c r="M105" s="7"/>
      <c r="N105" s="7"/>
      <c r="O105" s="7"/>
      <c r="P105" s="8" t="str">
        <f t="shared" si="2"/>
        <v>"ex:hasExperimentator": "",</v>
      </c>
      <c r="T105" t="s">
        <v>330</v>
      </c>
      <c r="U105" t="s">
        <v>328</v>
      </c>
    </row>
    <row r="106" spans="1:21" x14ac:dyDescent="0.25">
      <c r="A106" s="8"/>
      <c r="C106" s="8" t="s">
        <v>221</v>
      </c>
      <c r="D106" s="8"/>
      <c r="E106" s="8" t="s">
        <v>309</v>
      </c>
      <c r="H106" s="8" t="s">
        <v>795</v>
      </c>
      <c r="J106" s="8" t="s">
        <v>794</v>
      </c>
      <c r="L106" s="8"/>
      <c r="M106" s="7"/>
      <c r="N106" s="7"/>
      <c r="O106" s="7"/>
      <c r="P106" s="8" t="str">
        <f t="shared" si="2"/>
        <v>"ex:hasCreator": "",</v>
      </c>
      <c r="T106" t="s">
        <v>331</v>
      </c>
      <c r="U106" t="s">
        <v>327</v>
      </c>
    </row>
    <row r="107" spans="1:21" x14ac:dyDescent="0.25">
      <c r="A107" s="8"/>
      <c r="C107" s="8" t="s">
        <v>11</v>
      </c>
      <c r="D107" s="8"/>
      <c r="F107" t="s">
        <v>311</v>
      </c>
      <c r="H107" s="8" t="s">
        <v>796</v>
      </c>
      <c r="J107" s="8" t="s">
        <v>310</v>
      </c>
      <c r="M107" s="8"/>
      <c r="N107" s="8"/>
      <c r="O107" s="8"/>
      <c r="P107" s="8" t="str">
        <f t="shared" si="2"/>
        <v>"ex:hasPart": "",</v>
      </c>
      <c r="T107" t="s">
        <v>332</v>
      </c>
      <c r="U107" t="s">
        <v>355</v>
      </c>
    </row>
    <row r="108" spans="1:21" x14ac:dyDescent="0.25">
      <c r="A108" s="8"/>
      <c r="C108" s="8" t="s">
        <v>361</v>
      </c>
      <c r="D108" s="8"/>
      <c r="H108" s="8" t="s">
        <v>797</v>
      </c>
      <c r="J108" s="8" t="s">
        <v>312</v>
      </c>
      <c r="M108" s="7"/>
      <c r="N108" s="7"/>
      <c r="O108" s="7"/>
      <c r="P108" s="8" t="str">
        <f t="shared" si="2"/>
        <v>"ex:hasReaction/hasFunctionalAspect": "",</v>
      </c>
      <c r="T108" t="s">
        <v>333</v>
      </c>
      <c r="U108" t="s">
        <v>354</v>
      </c>
    </row>
    <row r="109" spans="1:21" x14ac:dyDescent="0.25">
      <c r="A109" s="8"/>
      <c r="C109" s="8" t="s">
        <v>792</v>
      </c>
      <c r="D109" s="8"/>
      <c r="E109" s="8" t="s">
        <v>793</v>
      </c>
      <c r="F109" t="s">
        <v>624</v>
      </c>
      <c r="H109" s="8" t="s">
        <v>800</v>
      </c>
      <c r="J109" s="8"/>
      <c r="L109" s="8"/>
      <c r="M109" s="7"/>
      <c r="N109" s="7"/>
      <c r="O109" s="7"/>
      <c r="P109" s="8" t="str">
        <f t="shared" si="2"/>
        <v>"ex:hasSetProcessVariable": "",</v>
      </c>
    </row>
    <row r="110" spans="1:21" x14ac:dyDescent="0.25">
      <c r="A110" s="8"/>
      <c r="C110" s="8" t="s">
        <v>622</v>
      </c>
      <c r="D110" s="8"/>
      <c r="E110" s="8" t="s">
        <v>313</v>
      </c>
      <c r="H110" s="8" t="s">
        <v>801</v>
      </c>
      <c r="J110" s="8"/>
      <c r="L110" s="8"/>
      <c r="M110" s="7"/>
      <c r="N110" s="7"/>
      <c r="O110" s="7"/>
      <c r="P110" s="8" t="str">
        <f t="shared" si="2"/>
        <v>"ex:hasRecordedProcessVariables": "",</v>
      </c>
    </row>
    <row r="111" spans="1:21" x14ac:dyDescent="0.25">
      <c r="A111" s="8"/>
      <c r="C111" s="8" t="s">
        <v>320</v>
      </c>
      <c r="D111" s="8"/>
      <c r="E111" s="8" t="s">
        <v>798</v>
      </c>
      <c r="H111" s="8" t="s">
        <v>799</v>
      </c>
      <c r="J111" s="8"/>
      <c r="L111" s="8"/>
      <c r="M111" s="7"/>
      <c r="N111" s="7"/>
      <c r="O111" s="7"/>
      <c r="P111" s="8" t="str">
        <f t="shared" si="2"/>
        <v>"ex:hasRealizationAspect": "",</v>
      </c>
      <c r="T111" t="s">
        <v>325</v>
      </c>
    </row>
    <row r="112" spans="1:21" x14ac:dyDescent="0.25">
      <c r="A112" s="8"/>
      <c r="C112" s="8" t="s">
        <v>459</v>
      </c>
      <c r="D112" s="8"/>
      <c r="E112" s="8" t="s">
        <v>802</v>
      </c>
      <c r="H112" s="8"/>
      <c r="J112" s="8"/>
      <c r="L112" s="8"/>
      <c r="P112" s="8" t="str">
        <f t="shared" si="2"/>
        <v>"ex:hasSOP": "",</v>
      </c>
    </row>
    <row r="113" spans="1:20" x14ac:dyDescent="0.25">
      <c r="A113" s="8"/>
      <c r="C113" s="8" t="s">
        <v>460</v>
      </c>
      <c r="D113" s="8"/>
      <c r="E113" s="8" t="s">
        <v>803</v>
      </c>
      <c r="H113" s="8"/>
      <c r="J113" s="8"/>
      <c r="L113" s="8"/>
      <c r="P113" s="8" t="str">
        <f t="shared" si="2"/>
        <v>"ex:hasRiskAssessment": "",</v>
      </c>
      <c r="T113" t="s">
        <v>325</v>
      </c>
    </row>
    <row r="114" spans="1:20" x14ac:dyDescent="0.25">
      <c r="A114" s="8"/>
      <c r="B114" t="s">
        <v>79</v>
      </c>
      <c r="C114" s="23" t="s">
        <v>461</v>
      </c>
      <c r="D114" s="21"/>
      <c r="E114" s="21" t="s">
        <v>462</v>
      </c>
      <c r="F114" t="s">
        <v>804</v>
      </c>
      <c r="H114" s="8"/>
      <c r="J114" s="8"/>
      <c r="L114" s="8"/>
      <c r="P114" s="8" t="str">
        <f t="shared" si="2"/>
        <v>"ex:hasInventory": "",</v>
      </c>
    </row>
    <row r="115" spans="1:20" x14ac:dyDescent="0.25">
      <c r="A115" s="8"/>
      <c r="C115" s="23" t="s">
        <v>463</v>
      </c>
      <c r="D115" s="21"/>
      <c r="E115" s="21" t="s">
        <v>464</v>
      </c>
      <c r="H115" s="8" t="s">
        <v>805</v>
      </c>
      <c r="J115" s="8"/>
      <c r="L115" s="8"/>
      <c r="P115" s="8" t="str">
        <f t="shared" si="2"/>
        <v>"ex:hasWasteStreams": "",</v>
      </c>
      <c r="T115" t="s">
        <v>326</v>
      </c>
    </row>
    <row r="116" spans="1:20" x14ac:dyDescent="0.25">
      <c r="A116" s="8"/>
      <c r="C116" s="8" t="s">
        <v>1177</v>
      </c>
      <c r="E116" s="8" t="s">
        <v>1178</v>
      </c>
      <c r="H116" s="8"/>
      <c r="J116" s="8"/>
      <c r="P116" s="8" t="str">
        <f t="shared" si="2"/>
        <v>"ex:hasFlowsheet": "",</v>
      </c>
    </row>
    <row r="117" spans="1:20" x14ac:dyDescent="0.25">
      <c r="A117" s="8"/>
      <c r="P117" s="8" t="str">
        <f t="shared" si="2"/>
        <v/>
      </c>
    </row>
    <row r="118" spans="1:20" x14ac:dyDescent="0.25">
      <c r="P118" s="8" t="str">
        <f t="shared" si="2"/>
        <v/>
      </c>
    </row>
    <row r="119" spans="1:20" x14ac:dyDescent="0.25">
      <c r="P119" s="8" t="str">
        <f t="shared" si="2"/>
        <v/>
      </c>
    </row>
    <row r="120" spans="1:20" s="29" customFormat="1" x14ac:dyDescent="0.25">
      <c r="P120" s="29" t="str">
        <f t="shared" si="2"/>
        <v/>
      </c>
    </row>
    <row r="121" spans="1:20" x14ac:dyDescent="0.25">
      <c r="A121" s="8" t="s">
        <v>261</v>
      </c>
      <c r="C121" t="s">
        <v>498</v>
      </c>
      <c r="D121" t="s">
        <v>497</v>
      </c>
      <c r="P121" s="8" t="str">
        <f t="shared" si="2"/>
        <v>"@id": "",</v>
      </c>
    </row>
    <row r="122" spans="1:20" x14ac:dyDescent="0.25">
      <c r="A122" s="8" t="s">
        <v>1072</v>
      </c>
      <c r="C122" t="s">
        <v>225</v>
      </c>
      <c r="D122" t="s">
        <v>497</v>
      </c>
      <c r="E122" t="s">
        <v>363</v>
      </c>
      <c r="P122" s="8" t="str">
        <f t="shared" si="2"/>
        <v>"@type": "",</v>
      </c>
    </row>
    <row r="123" spans="1:20" x14ac:dyDescent="0.25">
      <c r="A123" s="8"/>
      <c r="C123" s="8" t="s">
        <v>223</v>
      </c>
      <c r="D123" s="8" t="s">
        <v>492</v>
      </c>
      <c r="P123" s="8" t="str">
        <f t="shared" si="2"/>
        <v>"schema:name": "",</v>
      </c>
    </row>
    <row r="124" spans="1:20" x14ac:dyDescent="0.25">
      <c r="A124" s="8"/>
      <c r="C124" s="8" t="s">
        <v>264</v>
      </c>
      <c r="D124" s="8" t="s">
        <v>492</v>
      </c>
      <c r="P124" s="8" t="str">
        <f t="shared" si="2"/>
        <v>"schema:description": "",</v>
      </c>
    </row>
    <row r="125" spans="1:20" x14ac:dyDescent="0.25">
      <c r="A125" s="8"/>
      <c r="C125" t="s">
        <v>322</v>
      </c>
      <c r="E125" t="s">
        <v>323</v>
      </c>
      <c r="P125" s="8" t="str">
        <f t="shared" si="2"/>
        <v>"ex:generated": "",</v>
      </c>
    </row>
    <row r="126" spans="1:20" x14ac:dyDescent="0.25">
      <c r="A126" s="8"/>
      <c r="C126" s="8" t="s">
        <v>621</v>
      </c>
      <c r="D126" s="8"/>
      <c r="E126" s="8" t="s">
        <v>362</v>
      </c>
      <c r="F126" t="s">
        <v>623</v>
      </c>
      <c r="H126" s="8" t="s">
        <v>886</v>
      </c>
      <c r="J126" s="8"/>
      <c r="L126" s="8"/>
      <c r="M126" s="8"/>
      <c r="N126" s="8"/>
      <c r="O126" s="8"/>
      <c r="P126" s="8" t="str">
        <f t="shared" si="2"/>
        <v>"ex:hasSetProcessVariables": "",</v>
      </c>
    </row>
    <row r="127" spans="1:20" x14ac:dyDescent="0.25">
      <c r="A127" s="8"/>
      <c r="C127" s="8" t="s">
        <v>622</v>
      </c>
      <c r="H127" t="s">
        <v>885</v>
      </c>
      <c r="P127" s="8" t="str">
        <f t="shared" si="2"/>
        <v>"ex:hasRecordedProcessVariables": "",</v>
      </c>
    </row>
    <row r="128" spans="1:20" x14ac:dyDescent="0.25">
      <c r="A128" s="8"/>
      <c r="C128" s="7" t="s">
        <v>320</v>
      </c>
      <c r="D128" s="7"/>
      <c r="E128" s="7" t="s">
        <v>359</v>
      </c>
      <c r="F128" t="s">
        <v>620</v>
      </c>
      <c r="H128" s="8"/>
      <c r="J128" s="8"/>
      <c r="L128" s="8"/>
      <c r="M128" s="8"/>
      <c r="N128" s="8"/>
      <c r="O128" s="8"/>
      <c r="P128" s="8" t="str">
        <f t="shared" si="2"/>
        <v>"ex:hasRealizationAspect": "",</v>
      </c>
    </row>
    <row r="129" spans="1:16" x14ac:dyDescent="0.25">
      <c r="A129" s="8"/>
      <c r="P129" s="8" t="str">
        <f t="shared" si="2"/>
        <v/>
      </c>
    </row>
    <row r="130" spans="1:16" x14ac:dyDescent="0.25">
      <c r="A130" s="8"/>
      <c r="C130" s="8"/>
      <c r="P130" s="8" t="str">
        <f t="shared" si="2"/>
        <v/>
      </c>
    </row>
    <row r="131" spans="1:16" x14ac:dyDescent="0.25">
      <c r="A131" s="8"/>
      <c r="P131" s="8" t="str">
        <f t="shared" si="2"/>
        <v/>
      </c>
    </row>
    <row r="132" spans="1:16" x14ac:dyDescent="0.25">
      <c r="A132" s="8"/>
      <c r="P132" s="8" t="str">
        <f t="shared" si="2"/>
        <v/>
      </c>
    </row>
    <row r="133" spans="1:16" x14ac:dyDescent="0.25">
      <c r="A133" s="8"/>
      <c r="P133" s="8" t="str">
        <f t="shared" si="2"/>
        <v/>
      </c>
    </row>
    <row r="134" spans="1:16" x14ac:dyDescent="0.25">
      <c r="A134" s="8"/>
      <c r="P134" s="8" t="str">
        <f t="shared" si="2"/>
        <v/>
      </c>
    </row>
    <row r="135" spans="1:16" x14ac:dyDescent="0.25">
      <c r="A135" s="8"/>
      <c r="C135" s="8"/>
      <c r="P135" s="8" t="str">
        <f t="shared" si="2"/>
        <v/>
      </c>
    </row>
    <row r="136" spans="1:16" x14ac:dyDescent="0.25">
      <c r="A136" s="8"/>
      <c r="C136" s="8"/>
      <c r="P136" s="8" t="str">
        <f t="shared" si="2"/>
        <v/>
      </c>
    </row>
    <row r="137" spans="1:16" x14ac:dyDescent="0.25">
      <c r="A137" s="8"/>
      <c r="C137" s="8"/>
      <c r="P137" s="8" t="str">
        <f t="shared" si="2"/>
        <v/>
      </c>
    </row>
    <row r="138" spans="1:16" x14ac:dyDescent="0.25">
      <c r="A138" s="8"/>
      <c r="C138" s="7" t="s">
        <v>308</v>
      </c>
      <c r="D138" s="7"/>
      <c r="E138" s="7" t="s">
        <v>309</v>
      </c>
      <c r="F138" t="s">
        <v>620</v>
      </c>
      <c r="H138" s="8"/>
      <c r="J138" s="8"/>
      <c r="L138" s="8"/>
      <c r="M138" s="8"/>
      <c r="N138" s="8"/>
      <c r="O138" s="8"/>
      <c r="P138" s="8" t="str">
        <f t="shared" si="2"/>
        <v>"ex:hasExperimentator": "",</v>
      </c>
    </row>
    <row r="139" spans="1:16" x14ac:dyDescent="0.25">
      <c r="A139" s="8"/>
      <c r="C139" s="7" t="s">
        <v>221</v>
      </c>
      <c r="D139" s="7"/>
      <c r="E139" s="7" t="s">
        <v>309</v>
      </c>
      <c r="F139" t="s">
        <v>620</v>
      </c>
      <c r="H139" s="8"/>
      <c r="J139" s="8"/>
      <c r="L139" s="8"/>
      <c r="M139" s="8"/>
      <c r="N139" s="8"/>
      <c r="O139" s="8"/>
      <c r="P139" s="8"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8"/>
      <c r="C140" s="7" t="s">
        <v>361</v>
      </c>
      <c r="D140" s="7"/>
      <c r="E140" s="7" t="s">
        <v>360</v>
      </c>
      <c r="F140" t="s">
        <v>620</v>
      </c>
      <c r="H140" s="8"/>
      <c r="J140" s="8"/>
      <c r="L140" s="8"/>
      <c r="M140" s="8"/>
      <c r="N140" s="8"/>
      <c r="O140" s="8"/>
      <c r="P140" s="8" t="str">
        <f t="shared" si="3"/>
        <v>"ex:hasReaction/hasFunctionalAspect": "",</v>
      </c>
    </row>
    <row r="141" spans="1:16" x14ac:dyDescent="0.25">
      <c r="A141" s="8"/>
      <c r="P141" s="8" t="str">
        <f t="shared" si="3"/>
        <v/>
      </c>
    </row>
    <row r="142" spans="1:16" x14ac:dyDescent="0.25">
      <c r="A142" s="8"/>
      <c r="C142" s="8"/>
      <c r="P142" s="8" t="str">
        <f t="shared" si="3"/>
        <v/>
      </c>
    </row>
    <row r="143" spans="1:16" x14ac:dyDescent="0.25">
      <c r="P143" s="8" t="str">
        <f t="shared" si="3"/>
        <v/>
      </c>
    </row>
    <row r="144" spans="1:16" s="31" customFormat="1" x14ac:dyDescent="0.25">
      <c r="A144" s="31" t="s">
        <v>1084</v>
      </c>
      <c r="P144" s="28" t="str">
        <f t="shared" si="3"/>
        <v/>
      </c>
    </row>
    <row r="145" spans="1:16" s="29" customFormat="1" x14ac:dyDescent="0.25">
      <c r="P145" s="29" t="str">
        <f t="shared" si="3"/>
        <v/>
      </c>
    </row>
    <row r="146" spans="1:16" x14ac:dyDescent="0.25">
      <c r="A146" s="8" t="s">
        <v>262</v>
      </c>
      <c r="B146" t="s">
        <v>990</v>
      </c>
      <c r="C146" t="s">
        <v>498</v>
      </c>
      <c r="D146" t="s">
        <v>497</v>
      </c>
      <c r="P146" s="8" t="str">
        <f t="shared" si="3"/>
        <v>"@id": "",</v>
      </c>
    </row>
    <row r="147" spans="1:16" x14ac:dyDescent="0.25">
      <c r="A147" s="8"/>
      <c r="C147" t="s">
        <v>225</v>
      </c>
      <c r="D147" t="s">
        <v>497</v>
      </c>
      <c r="E147" t="s">
        <v>396</v>
      </c>
      <c r="P147" s="8" t="str">
        <f t="shared" si="3"/>
        <v>"@type": "",</v>
      </c>
    </row>
    <row r="148" spans="1:16" x14ac:dyDescent="0.25">
      <c r="A148" s="8"/>
      <c r="C148" t="s">
        <v>223</v>
      </c>
      <c r="D148" t="s">
        <v>492</v>
      </c>
      <c r="J148" t="s">
        <v>633</v>
      </c>
      <c r="P148" s="8" t="str">
        <f t="shared" si="3"/>
        <v>"schema:name": "",</v>
      </c>
    </row>
    <row r="149" spans="1:16" x14ac:dyDescent="0.25">
      <c r="A149" s="8"/>
      <c r="C149" t="s">
        <v>264</v>
      </c>
      <c r="D149" t="s">
        <v>492</v>
      </c>
      <c r="J149" t="s">
        <v>399</v>
      </c>
      <c r="P149" s="8" t="str">
        <f t="shared" si="3"/>
        <v>"schema:description": "",</v>
      </c>
    </row>
    <row r="150" spans="1:16" x14ac:dyDescent="0.25">
      <c r="A150" s="8"/>
      <c r="C150" t="s">
        <v>397</v>
      </c>
      <c r="E150" t="s">
        <v>398</v>
      </c>
      <c r="J150" t="s">
        <v>400</v>
      </c>
      <c r="P150" s="8" t="str">
        <f t="shared" si="3"/>
        <v>"ex:hasParticipant": "",</v>
      </c>
    </row>
    <row r="151" spans="1:16" x14ac:dyDescent="0.25">
      <c r="A151" s="8"/>
      <c r="C151" t="s">
        <v>394</v>
      </c>
      <c r="E151" t="s">
        <v>395</v>
      </c>
      <c r="P151" s="8" t="str">
        <f t="shared" si="3"/>
        <v>"ex:describedByMechanism": "",</v>
      </c>
    </row>
    <row r="152" spans="1:16" x14ac:dyDescent="0.25">
      <c r="A152" s="8"/>
      <c r="C152" s="7" t="s">
        <v>391</v>
      </c>
      <c r="D152" s="7"/>
      <c r="E152" s="7" t="s">
        <v>392</v>
      </c>
      <c r="L152" s="7"/>
      <c r="P152" s="8" t="str">
        <f t="shared" si="3"/>
        <v>"ex:hasReactiontype": "",</v>
      </c>
    </row>
    <row r="153" spans="1:16" x14ac:dyDescent="0.25">
      <c r="A153" s="8"/>
      <c r="C153" t="s">
        <v>908</v>
      </c>
      <c r="E153" t="s">
        <v>910</v>
      </c>
      <c r="F153" t="s">
        <v>911</v>
      </c>
      <c r="H153" t="s">
        <v>229</v>
      </c>
      <c r="J153" t="s">
        <v>909</v>
      </c>
      <c r="P153" s="8" t="str">
        <f t="shared" si="3"/>
        <v>"ex:occursBetweenPhases": 
[
{
"@id": "#"
},
{
"@id": "#"
}
],</v>
      </c>
    </row>
    <row r="154" spans="1:16" x14ac:dyDescent="0.25">
      <c r="A154" s="8"/>
      <c r="C154" t="s">
        <v>912</v>
      </c>
      <c r="E154" t="s">
        <v>913</v>
      </c>
      <c r="H154" t="s">
        <v>1098</v>
      </c>
      <c r="P154" s="8" t="str">
        <f t="shared" si="3"/>
        <v>"ex:occurrsInPhase": 
{
"@id": "#"
}</v>
      </c>
    </row>
    <row r="155" spans="1:16" x14ac:dyDescent="0.25">
      <c r="A155" s="8"/>
      <c r="P155" s="8" t="str">
        <f t="shared" si="3"/>
        <v/>
      </c>
    </row>
    <row r="156" spans="1:16" x14ac:dyDescent="0.25">
      <c r="A156" s="8"/>
      <c r="P156" s="8" t="str">
        <f t="shared" si="3"/>
        <v/>
      </c>
    </row>
    <row r="157" spans="1:16" x14ac:dyDescent="0.25">
      <c r="A157" s="8"/>
      <c r="B157" t="s">
        <v>634</v>
      </c>
      <c r="C157" t="s">
        <v>498</v>
      </c>
      <c r="D157" t="s">
        <v>497</v>
      </c>
      <c r="P157" s="8" t="str">
        <f t="shared" si="3"/>
        <v>"@id": "",</v>
      </c>
    </row>
    <row r="158" spans="1:16" x14ac:dyDescent="0.25">
      <c r="A158" s="8"/>
      <c r="C158" t="s">
        <v>225</v>
      </c>
      <c r="D158" t="s">
        <v>497</v>
      </c>
      <c r="E158" t="s">
        <v>637</v>
      </c>
      <c r="P158" s="8" t="str">
        <f t="shared" si="3"/>
        <v>"@type": "",</v>
      </c>
    </row>
    <row r="159" spans="1:16" x14ac:dyDescent="0.25">
      <c r="A159" s="8"/>
      <c r="C159" t="s">
        <v>223</v>
      </c>
      <c r="D159" t="s">
        <v>492</v>
      </c>
      <c r="P159" s="8" t="str">
        <f t="shared" si="3"/>
        <v>"schema:name": "",</v>
      </c>
    </row>
    <row r="160" spans="1:16" x14ac:dyDescent="0.25">
      <c r="A160" s="8"/>
      <c r="C160" t="s">
        <v>264</v>
      </c>
      <c r="D160" t="s">
        <v>492</v>
      </c>
      <c r="P160" s="8" t="str">
        <f t="shared" si="3"/>
        <v>"schema:description": "",</v>
      </c>
    </row>
    <row r="161" spans="1:16" x14ac:dyDescent="0.25">
      <c r="A161" s="8"/>
      <c r="C161" t="s">
        <v>635</v>
      </c>
      <c r="E161" t="s">
        <v>636</v>
      </c>
      <c r="P161" s="8" t="str">
        <f t="shared" si="3"/>
        <v>"ex:reversibility": "",</v>
      </c>
    </row>
    <row r="162" spans="1:16" x14ac:dyDescent="0.25">
      <c r="A162" s="8"/>
      <c r="C162" t="s">
        <v>397</v>
      </c>
      <c r="P162" s="8" t="str">
        <f t="shared" si="3"/>
        <v>"ex:hasParticipant": "",</v>
      </c>
    </row>
    <row r="163" spans="1:16" x14ac:dyDescent="0.25">
      <c r="A163" s="8"/>
      <c r="C163" t="s">
        <v>908</v>
      </c>
      <c r="E163" t="s">
        <v>910</v>
      </c>
      <c r="J163" t="s">
        <v>909</v>
      </c>
      <c r="P163" s="8" t="str">
        <f t="shared" si="3"/>
        <v>"ex:occursBetweenPhases": "",</v>
      </c>
    </row>
    <row r="164" spans="1:16" x14ac:dyDescent="0.25">
      <c r="A164" s="8"/>
      <c r="C164" t="s">
        <v>912</v>
      </c>
      <c r="E164" t="s">
        <v>913</v>
      </c>
      <c r="P164" s="8" t="str">
        <f t="shared" si="3"/>
        <v>"ex:occurrsInPhase": "",</v>
      </c>
    </row>
    <row r="165" spans="1:16" x14ac:dyDescent="0.25">
      <c r="A165" s="8"/>
      <c r="P165" s="8" t="str">
        <f t="shared" si="3"/>
        <v/>
      </c>
    </row>
    <row r="166" spans="1:16" x14ac:dyDescent="0.25">
      <c r="A166" s="8"/>
      <c r="P166" s="8" t="str">
        <f t="shared" si="3"/>
        <v/>
      </c>
    </row>
    <row r="167" spans="1:16" s="29" customFormat="1" x14ac:dyDescent="0.25">
      <c r="P167" s="29" t="str">
        <f t="shared" si="3"/>
        <v/>
      </c>
    </row>
    <row r="168" spans="1:16" x14ac:dyDescent="0.25">
      <c r="A168" s="8" t="s">
        <v>401</v>
      </c>
      <c r="C168" t="s">
        <v>498</v>
      </c>
      <c r="D168" t="s">
        <v>497</v>
      </c>
      <c r="P168" s="8" t="str">
        <f t="shared" si="3"/>
        <v>"@id": "",</v>
      </c>
    </row>
    <row r="169" spans="1:16" x14ac:dyDescent="0.25">
      <c r="A169" s="8"/>
      <c r="C169" t="s">
        <v>225</v>
      </c>
      <c r="D169" t="s">
        <v>497</v>
      </c>
      <c r="E169" t="s">
        <v>402</v>
      </c>
      <c r="P169" s="8" t="str">
        <f t="shared" si="3"/>
        <v>"@type": "",</v>
      </c>
    </row>
    <row r="170" spans="1:16" x14ac:dyDescent="0.25">
      <c r="A170" s="8"/>
      <c r="C170" t="s">
        <v>403</v>
      </c>
      <c r="E170" t="s">
        <v>404</v>
      </c>
      <c r="J170" t="s">
        <v>194</v>
      </c>
      <c r="P170" s="8" t="str">
        <f t="shared" si="3"/>
        <v>"ex:hasSpecies": "",</v>
      </c>
    </row>
    <row r="171" spans="1:16" x14ac:dyDescent="0.25">
      <c r="A171" s="8"/>
      <c r="C171" t="s">
        <v>393</v>
      </c>
      <c r="J171">
        <v>-1</v>
      </c>
      <c r="P171" s="8" t="str">
        <f t="shared" si="3"/>
        <v>"ex:hasStoichiometricCoefficient": "",</v>
      </c>
    </row>
    <row r="172" spans="1:16" x14ac:dyDescent="0.25">
      <c r="A172" s="8"/>
      <c r="C172" t="s">
        <v>405</v>
      </c>
      <c r="E172" t="s">
        <v>406</v>
      </c>
      <c r="P172" s="8" t="str">
        <f t="shared" si="3"/>
        <v>"ex:hasRole": "",</v>
      </c>
    </row>
    <row r="173" spans="1:16" x14ac:dyDescent="0.25">
      <c r="A173" s="8"/>
      <c r="C173" t="s">
        <v>1548</v>
      </c>
      <c r="E173" t="s">
        <v>1549</v>
      </c>
      <c r="H173" t="s">
        <v>1077</v>
      </c>
      <c r="I173" t="s">
        <v>262</v>
      </c>
      <c r="P173" s="8" t="str">
        <f t="shared" si="3"/>
        <v>"ex:participatesIn": 
{
"@id": "#"
}</v>
      </c>
    </row>
    <row r="174" spans="1:16" x14ac:dyDescent="0.25">
      <c r="A174" s="8"/>
      <c r="P174" s="8" t="str">
        <f t="shared" si="3"/>
        <v/>
      </c>
    </row>
    <row r="175" spans="1:16" x14ac:dyDescent="0.25">
      <c r="A175" s="8"/>
      <c r="P175" s="8" t="str">
        <f t="shared" si="3"/>
        <v/>
      </c>
    </row>
    <row r="176" spans="1:16" s="29" customFormat="1" x14ac:dyDescent="0.25">
      <c r="P176" s="29" t="str">
        <f t="shared" si="3"/>
        <v/>
      </c>
    </row>
    <row r="177" spans="1:16" x14ac:dyDescent="0.25">
      <c r="A177" s="8" t="s">
        <v>407</v>
      </c>
      <c r="C177" t="s">
        <v>498</v>
      </c>
      <c r="D177" t="s">
        <v>497</v>
      </c>
      <c r="P177" s="8" t="str">
        <f t="shared" si="3"/>
        <v>"@id": "",</v>
      </c>
    </row>
    <row r="178" spans="1:16" x14ac:dyDescent="0.25">
      <c r="A178" s="8"/>
      <c r="C178" t="s">
        <v>225</v>
      </c>
      <c r="D178" t="s">
        <v>497</v>
      </c>
      <c r="E178" t="s">
        <v>407</v>
      </c>
      <c r="P178" s="8" t="str">
        <f t="shared" si="3"/>
        <v>"@type": "",</v>
      </c>
    </row>
    <row r="179" spans="1:16" x14ac:dyDescent="0.25">
      <c r="A179" s="8"/>
      <c r="C179" t="s">
        <v>499</v>
      </c>
      <c r="E179" t="s">
        <v>408</v>
      </c>
      <c r="H179" t="s">
        <v>368</v>
      </c>
      <c r="P179" s="8" t="str">
        <f t="shared" si="3"/>
        <v>"ex:containsElementaryReactions": 
[
{
"@id": "#"
},
{
"@id": "#"
}
],</v>
      </c>
    </row>
    <row r="180" spans="1:16" x14ac:dyDescent="0.25">
      <c r="A180" s="8"/>
      <c r="C180" t="s">
        <v>1550</v>
      </c>
      <c r="E180" t="s">
        <v>1220</v>
      </c>
      <c r="F180" t="s">
        <v>1551</v>
      </c>
      <c r="H180" t="s">
        <v>1098</v>
      </c>
      <c r="I180" t="s">
        <v>255</v>
      </c>
      <c r="P180" s="8" t="str">
        <f t="shared" si="3"/>
        <v>"ex:describesReaction": 
{
"@id": "#"
}</v>
      </c>
    </row>
    <row r="181" spans="1:16" x14ac:dyDescent="0.25">
      <c r="A181" s="8"/>
      <c r="P181" s="8" t="str">
        <f t="shared" si="3"/>
        <v/>
      </c>
    </row>
    <row r="182" spans="1:16" x14ac:dyDescent="0.25">
      <c r="P182" s="8" t="str">
        <f t="shared" si="3"/>
        <v/>
      </c>
    </row>
    <row r="183" spans="1:16" x14ac:dyDescent="0.25">
      <c r="P183" s="8" t="str">
        <f t="shared" si="3"/>
        <v/>
      </c>
    </row>
    <row r="184" spans="1:16" s="31" customFormat="1" x14ac:dyDescent="0.25">
      <c r="A184" s="31" t="s">
        <v>152</v>
      </c>
      <c r="P184" s="28" t="str">
        <f t="shared" si="3"/>
        <v/>
      </c>
    </row>
    <row r="185" spans="1:16" s="29" customFormat="1" x14ac:dyDescent="0.25">
      <c r="P185" s="29" t="str">
        <f t="shared" si="3"/>
        <v/>
      </c>
    </row>
    <row r="186" spans="1:16" x14ac:dyDescent="0.25">
      <c r="A186" s="8" t="s">
        <v>16</v>
      </c>
      <c r="B186" t="s">
        <v>889</v>
      </c>
      <c r="C186" t="s">
        <v>498</v>
      </c>
      <c r="D186" t="s">
        <v>497</v>
      </c>
      <c r="G186" t="s">
        <v>1270</v>
      </c>
      <c r="H186" t="s">
        <v>629</v>
      </c>
      <c r="K186" t="s">
        <v>1091</v>
      </c>
      <c r="P186" s="8" t="str">
        <f t="shared" si="3"/>
        <v>"@id": "",</v>
      </c>
    </row>
    <row r="187" spans="1:16" x14ac:dyDescent="0.25">
      <c r="A187" s="8"/>
      <c r="C187" t="s">
        <v>225</v>
      </c>
      <c r="D187" t="s">
        <v>497</v>
      </c>
      <c r="E187" t="s">
        <v>267</v>
      </c>
      <c r="G187" t="s">
        <v>1270</v>
      </c>
      <c r="H187" t="s">
        <v>1276</v>
      </c>
      <c r="K187" t="s">
        <v>1091</v>
      </c>
      <c r="L187" t="s">
        <v>6</v>
      </c>
      <c r="P187" s="8" t="str">
        <f t="shared" si="3"/>
        <v>"@type": "Reactor",</v>
      </c>
    </row>
    <row r="188" spans="1:16" x14ac:dyDescent="0.25">
      <c r="A188" s="8"/>
      <c r="C188" t="s">
        <v>223</v>
      </c>
      <c r="D188" t="s">
        <v>492</v>
      </c>
      <c r="G188" t="s">
        <v>1270</v>
      </c>
      <c r="H188" t="s">
        <v>629</v>
      </c>
      <c r="K188" t="s">
        <v>1091</v>
      </c>
      <c r="P188" s="8" t="str">
        <f t="shared" si="3"/>
        <v>"schema:name": "",</v>
      </c>
    </row>
    <row r="189" spans="1:16" x14ac:dyDescent="0.25">
      <c r="A189" s="8"/>
      <c r="C189" t="s">
        <v>264</v>
      </c>
      <c r="D189" t="s">
        <v>492</v>
      </c>
      <c r="G189" t="s">
        <v>1270</v>
      </c>
      <c r="H189" t="s">
        <v>629</v>
      </c>
      <c r="K189" t="s">
        <v>1092</v>
      </c>
      <c r="P189" s="8" t="str">
        <f t="shared" si="3"/>
        <v>"schema:description": "",</v>
      </c>
    </row>
    <row r="190" spans="1:16" x14ac:dyDescent="0.25">
      <c r="A190" s="8"/>
      <c r="C190" s="10" t="s">
        <v>11</v>
      </c>
      <c r="D190" t="s">
        <v>492</v>
      </c>
      <c r="E190" t="s">
        <v>1116</v>
      </c>
      <c r="H190" t="s">
        <v>1117</v>
      </c>
      <c r="I190" t="s">
        <v>19</v>
      </c>
      <c r="P190" s="8" t="str">
        <f t="shared" si="3"/>
        <v>"schema:hasPart": "",</v>
      </c>
    </row>
    <row r="191" spans="1:16" x14ac:dyDescent="0.25">
      <c r="A191" s="8"/>
      <c r="C191" t="s">
        <v>334</v>
      </c>
      <c r="E191" t="s">
        <v>1285</v>
      </c>
      <c r="H191" t="s">
        <v>1119</v>
      </c>
      <c r="I191" t="s">
        <v>1118</v>
      </c>
      <c r="J191" t="s">
        <v>1284</v>
      </c>
      <c r="L191" s="17"/>
      <c r="P191" s="8" t="str">
        <f t="shared" si="3"/>
        <v>"ex:hasContext": 
[
{
"@id": "#"
},
{
"@id": "#"
}
],</v>
      </c>
    </row>
    <row r="192" spans="1:16" x14ac:dyDescent="0.25">
      <c r="A192" s="8"/>
      <c r="C192" t="s">
        <v>80</v>
      </c>
      <c r="H192" t="s">
        <v>1077</v>
      </c>
      <c r="I192" t="s">
        <v>1287</v>
      </c>
      <c r="N192" t="s">
        <v>432</v>
      </c>
      <c r="P192" s="8" t="str">
        <f t="shared" si="3"/>
        <v>"ex:hasDigitalObjectID": 
{
"@id": "#"
}</v>
      </c>
    </row>
    <row r="193" spans="1:16" x14ac:dyDescent="0.25">
      <c r="A193" s="8"/>
      <c r="C193" t="s">
        <v>271</v>
      </c>
      <c r="E193" t="s">
        <v>272</v>
      </c>
      <c r="F193" t="s">
        <v>274</v>
      </c>
      <c r="H193" t="s">
        <v>1077</v>
      </c>
      <c r="I193" t="s">
        <v>1288</v>
      </c>
      <c r="N193" t="s">
        <v>432</v>
      </c>
      <c r="P193" s="8" t="str">
        <f t="shared" si="3"/>
        <v>"ex:operatingMode": 
{
"@id": "#"
}</v>
      </c>
    </row>
    <row r="194" spans="1:16" x14ac:dyDescent="0.25">
      <c r="A194" s="8"/>
      <c r="C194" t="s">
        <v>81</v>
      </c>
      <c r="E194" t="s">
        <v>275</v>
      </c>
      <c r="G194" t="s">
        <v>1286</v>
      </c>
      <c r="I194" t="s">
        <v>1093</v>
      </c>
      <c r="N194" t="s">
        <v>151</v>
      </c>
      <c r="P194" s="8" t="str">
        <f t="shared" si="3"/>
        <v>"ex:lastServicedTime": "",</v>
      </c>
    </row>
    <row r="195" spans="1:16" x14ac:dyDescent="0.25">
      <c r="A195" s="8"/>
      <c r="C195" t="s">
        <v>82</v>
      </c>
      <c r="E195" t="s">
        <v>275</v>
      </c>
      <c r="G195" t="s">
        <v>1109</v>
      </c>
      <c r="H195" t="s">
        <v>1077</v>
      </c>
      <c r="I195" t="s">
        <v>1093</v>
      </c>
      <c r="N195" t="s">
        <v>151</v>
      </c>
      <c r="P195" s="8" t="str">
        <f t="shared" si="3"/>
        <v>"ex:lastUsedTime": 
{
"@id": "#"
}</v>
      </c>
    </row>
    <row r="196" spans="1:16" x14ac:dyDescent="0.25">
      <c r="A196" s="8"/>
      <c r="C196" t="s">
        <v>83</v>
      </c>
      <c r="G196" t="s">
        <v>1109</v>
      </c>
      <c r="H196" t="s">
        <v>1077</v>
      </c>
      <c r="J196" t="s">
        <v>764</v>
      </c>
      <c r="N196" t="s">
        <v>432</v>
      </c>
      <c r="P196" s="8" t="str">
        <f t="shared" si="3"/>
        <v>"ex:lastUsedPurpose": 
{
"@id": "#"
}</v>
      </c>
    </row>
    <row r="197" spans="1:16" x14ac:dyDescent="0.25">
      <c r="A197" s="8"/>
      <c r="C197" t="s">
        <v>1271</v>
      </c>
      <c r="E197" t="s">
        <v>849</v>
      </c>
      <c r="G197" t="s">
        <v>1270</v>
      </c>
      <c r="H197" t="s">
        <v>848</v>
      </c>
      <c r="N197" t="s">
        <v>850</v>
      </c>
      <c r="P197" s="8" t="str">
        <f t="shared" si="3"/>
        <v>"ex:setSetProfiles": "",</v>
      </c>
    </row>
    <row r="198" spans="1:16" x14ac:dyDescent="0.25">
      <c r="A198" s="8"/>
      <c r="C198" t="s">
        <v>839</v>
      </c>
      <c r="G198" t="s">
        <v>1108</v>
      </c>
      <c r="H198" t="s">
        <v>368</v>
      </c>
      <c r="I198" t="s">
        <v>6</v>
      </c>
      <c r="P198" s="8" t="str">
        <f t="shared" si="3"/>
        <v>"ex:hasInstances": 
[
{
"@id": "#"
},
{
"@id": "#"
}
],</v>
      </c>
    </row>
    <row r="199" spans="1:16" x14ac:dyDescent="0.25">
      <c r="A199" s="8"/>
      <c r="C199" t="s">
        <v>626</v>
      </c>
      <c r="G199" t="s">
        <v>1109</v>
      </c>
      <c r="H199" t="s">
        <v>390</v>
      </c>
      <c r="I199" t="s">
        <v>6</v>
      </c>
      <c r="P199" s="8" t="str">
        <f t="shared" si="3"/>
        <v>"ex:isInstanceOf": 
{
"@id": "#"
}</v>
      </c>
    </row>
    <row r="200" spans="1:16" x14ac:dyDescent="0.25">
      <c r="A200" s="8"/>
      <c r="P200" s="8" t="str">
        <f t="shared" si="3"/>
        <v/>
      </c>
    </row>
    <row r="201" spans="1:16" x14ac:dyDescent="0.25">
      <c r="A201" s="8"/>
      <c r="P201" s="8" t="str">
        <f t="shared" si="3"/>
        <v/>
      </c>
    </row>
    <row r="202" spans="1:16" x14ac:dyDescent="0.25">
      <c r="P202" s="8" t="str">
        <f t="shared" si="3"/>
        <v/>
      </c>
    </row>
    <row r="203" spans="1:16" x14ac:dyDescent="0.25">
      <c r="P203" s="8"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9" customFormat="1" x14ac:dyDescent="0.25">
      <c r="P204" s="29" t="str">
        <f t="shared" si="4"/>
        <v/>
      </c>
    </row>
    <row r="205" spans="1:16" x14ac:dyDescent="0.25">
      <c r="A205" s="8" t="s">
        <v>7</v>
      </c>
      <c r="C205" t="s">
        <v>498</v>
      </c>
      <c r="D205" t="s">
        <v>497</v>
      </c>
      <c r="G205" t="s">
        <v>1270</v>
      </c>
      <c r="H205" t="s">
        <v>629</v>
      </c>
      <c r="K205" t="s">
        <v>1091</v>
      </c>
      <c r="P205" s="8" t="str">
        <f t="shared" si="4"/>
        <v>"@id": "",</v>
      </c>
    </row>
    <row r="206" spans="1:16" x14ac:dyDescent="0.25">
      <c r="A206" s="8"/>
      <c r="C206" t="s">
        <v>225</v>
      </c>
      <c r="D206" t="s">
        <v>497</v>
      </c>
      <c r="G206" t="s">
        <v>1270</v>
      </c>
      <c r="H206" t="s">
        <v>629</v>
      </c>
      <c r="K206" t="s">
        <v>1091</v>
      </c>
      <c r="L206" t="s">
        <v>9</v>
      </c>
      <c r="P206" s="8" t="str">
        <f t="shared" si="4"/>
        <v>"@type": "Sparger",</v>
      </c>
    </row>
    <row r="207" spans="1:16" x14ac:dyDescent="0.25">
      <c r="A207" s="8"/>
      <c r="C207" t="s">
        <v>223</v>
      </c>
      <c r="D207" t="s">
        <v>492</v>
      </c>
      <c r="G207" t="s">
        <v>1270</v>
      </c>
      <c r="H207" t="s">
        <v>629</v>
      </c>
      <c r="K207" t="s">
        <v>1091</v>
      </c>
      <c r="P207" s="8" t="str">
        <f t="shared" si="4"/>
        <v>"schema:name": "",</v>
      </c>
    </row>
    <row r="208" spans="1:16" x14ac:dyDescent="0.25">
      <c r="A208" s="8"/>
      <c r="C208" t="s">
        <v>264</v>
      </c>
      <c r="D208" t="s">
        <v>492</v>
      </c>
      <c r="G208" t="s">
        <v>1270</v>
      </c>
      <c r="H208" t="s">
        <v>629</v>
      </c>
      <c r="K208" t="s">
        <v>1092</v>
      </c>
      <c r="P208" s="8" t="str">
        <f t="shared" si="4"/>
        <v>"schema:description": "",</v>
      </c>
    </row>
    <row r="209" spans="1:16" x14ac:dyDescent="0.25">
      <c r="A209" s="8"/>
      <c r="C209" t="s">
        <v>334</v>
      </c>
      <c r="E209" t="s">
        <v>888</v>
      </c>
      <c r="H209" t="s">
        <v>229</v>
      </c>
      <c r="I209" t="s">
        <v>1273</v>
      </c>
      <c r="P209" s="8" t="str">
        <f t="shared" si="4"/>
        <v>"ex:hasContext": 
[
{
"@id": "#"
},
{
"@id": "#"
}
],</v>
      </c>
    </row>
    <row r="210" spans="1:16" x14ac:dyDescent="0.25">
      <c r="A210" s="8"/>
      <c r="C210" t="s">
        <v>80</v>
      </c>
      <c r="H210" t="s">
        <v>1098</v>
      </c>
      <c r="I210" t="s">
        <v>1300</v>
      </c>
      <c r="N210" t="s">
        <v>13</v>
      </c>
      <c r="P210" s="8" t="str">
        <f t="shared" si="4"/>
        <v>"ex:hasDigitalObjectID": 
{
"@id": "#"
}</v>
      </c>
    </row>
    <row r="211" spans="1:16" x14ac:dyDescent="0.25">
      <c r="A211" s="8"/>
      <c r="C211" t="s">
        <v>82</v>
      </c>
      <c r="G211" t="s">
        <v>1109</v>
      </c>
      <c r="H211" t="s">
        <v>1077</v>
      </c>
      <c r="I211" t="s">
        <v>22</v>
      </c>
      <c r="N211" t="s">
        <v>22</v>
      </c>
      <c r="P211" s="8" t="str">
        <f t="shared" si="4"/>
        <v>"ex:lastUsedTime": 
{
"@id": "#"
}</v>
      </c>
    </row>
    <row r="212" spans="1:16" x14ac:dyDescent="0.25">
      <c r="A212" s="8"/>
      <c r="C212" t="s">
        <v>83</v>
      </c>
      <c r="G212" t="s">
        <v>1109</v>
      </c>
      <c r="H212" t="s">
        <v>1077</v>
      </c>
      <c r="I212" t="s">
        <v>1282</v>
      </c>
      <c r="N212" t="s">
        <v>13</v>
      </c>
      <c r="P212" s="8" t="str">
        <f t="shared" si="4"/>
        <v>"ex:lastUsedPurpose": 
{
"@id": "#"
}</v>
      </c>
    </row>
    <row r="213" spans="1:16" x14ac:dyDescent="0.25">
      <c r="A213" s="8"/>
      <c r="C213" t="s">
        <v>1271</v>
      </c>
      <c r="H213" t="s">
        <v>1077</v>
      </c>
      <c r="I213" t="s">
        <v>1163</v>
      </c>
      <c r="N213" t="s">
        <v>893</v>
      </c>
      <c r="P213" s="8" t="str">
        <f t="shared" si="4"/>
        <v>"ex:setSetProfiles": 
{
"@id": "#"
}</v>
      </c>
    </row>
    <row r="214" spans="1:16" x14ac:dyDescent="0.25">
      <c r="A214" s="8"/>
      <c r="C214" t="s">
        <v>839</v>
      </c>
      <c r="G214" t="s">
        <v>1108</v>
      </c>
      <c r="H214" t="s">
        <v>229</v>
      </c>
      <c r="I214" t="s">
        <v>9</v>
      </c>
      <c r="P214" s="8" t="str">
        <f t="shared" si="4"/>
        <v>"ex:hasInstances": 
[
{
"@id": "#"
},
{
"@id": "#"
}
],</v>
      </c>
    </row>
    <row r="215" spans="1:16" x14ac:dyDescent="0.25">
      <c r="A215" s="8"/>
      <c r="C215" t="s">
        <v>626</v>
      </c>
      <c r="G215" t="s">
        <v>1109</v>
      </c>
      <c r="H215" t="s">
        <v>390</v>
      </c>
      <c r="I215" t="s">
        <v>9</v>
      </c>
      <c r="P215" s="8" t="str">
        <f t="shared" si="4"/>
        <v>"ex:isInstanceOf": 
{
"@id": "#"
}</v>
      </c>
    </row>
    <row r="216" spans="1:16" x14ac:dyDescent="0.25">
      <c r="A216" s="8"/>
      <c r="P216" s="8" t="str">
        <f t="shared" si="4"/>
        <v/>
      </c>
    </row>
    <row r="217" spans="1:16" x14ac:dyDescent="0.25">
      <c r="P217" s="8" t="str">
        <f t="shared" si="4"/>
        <v/>
      </c>
    </row>
    <row r="218" spans="1:16" x14ac:dyDescent="0.25">
      <c r="P218" s="8" t="str">
        <f t="shared" si="4"/>
        <v/>
      </c>
    </row>
    <row r="219" spans="1:16" x14ac:dyDescent="0.25">
      <c r="P219" s="8" t="str">
        <f t="shared" si="4"/>
        <v/>
      </c>
    </row>
    <row r="220" spans="1:16" s="29" customFormat="1" x14ac:dyDescent="0.25">
      <c r="P220" s="29" t="str">
        <f t="shared" si="4"/>
        <v/>
      </c>
    </row>
    <row r="221" spans="1:16" x14ac:dyDescent="0.25">
      <c r="A221" s="8" t="s">
        <v>9</v>
      </c>
      <c r="C221" t="s">
        <v>498</v>
      </c>
      <c r="D221" t="s">
        <v>497</v>
      </c>
      <c r="G221" t="s">
        <v>1270</v>
      </c>
      <c r="H221" t="s">
        <v>629</v>
      </c>
      <c r="K221" t="s">
        <v>1091</v>
      </c>
      <c r="P221" s="8" t="str">
        <f t="shared" si="4"/>
        <v>"@id": "",</v>
      </c>
    </row>
    <row r="222" spans="1:16" x14ac:dyDescent="0.25">
      <c r="A222" s="8"/>
      <c r="C222" t="s">
        <v>225</v>
      </c>
      <c r="D222" t="s">
        <v>497</v>
      </c>
      <c r="G222" t="s">
        <v>1270</v>
      </c>
      <c r="H222" t="s">
        <v>629</v>
      </c>
      <c r="K222" t="s">
        <v>1091</v>
      </c>
      <c r="L222" t="s">
        <v>9</v>
      </c>
      <c r="P222" s="8" t="str">
        <f t="shared" si="4"/>
        <v>"@type": "Sparger",</v>
      </c>
    </row>
    <row r="223" spans="1:16" x14ac:dyDescent="0.25">
      <c r="A223" s="8"/>
      <c r="C223" t="s">
        <v>223</v>
      </c>
      <c r="D223" t="s">
        <v>492</v>
      </c>
      <c r="G223" t="s">
        <v>1270</v>
      </c>
      <c r="H223" t="s">
        <v>629</v>
      </c>
      <c r="K223" t="s">
        <v>1091</v>
      </c>
      <c r="P223" s="8" t="str">
        <f t="shared" si="4"/>
        <v>"schema:name": "",</v>
      </c>
    </row>
    <row r="224" spans="1:16" x14ac:dyDescent="0.25">
      <c r="A224" s="8"/>
      <c r="C224" t="s">
        <v>264</v>
      </c>
      <c r="D224" t="s">
        <v>492</v>
      </c>
      <c r="G224" t="s">
        <v>1270</v>
      </c>
      <c r="H224" t="s">
        <v>629</v>
      </c>
      <c r="K224" t="s">
        <v>1092</v>
      </c>
      <c r="P224" s="8" t="str">
        <f t="shared" si="4"/>
        <v>"schema:description": "",</v>
      </c>
    </row>
    <row r="225" spans="1:16" x14ac:dyDescent="0.25">
      <c r="A225" s="8"/>
      <c r="C225" t="s">
        <v>334</v>
      </c>
      <c r="H225" t="s">
        <v>229</v>
      </c>
      <c r="I225" t="s">
        <v>1273</v>
      </c>
      <c r="P225" s="8" t="str">
        <f t="shared" si="4"/>
        <v>"ex:hasContext": 
[
{
"@id": "#"
},
{
"@id": "#"
}
],</v>
      </c>
    </row>
    <row r="226" spans="1:16" x14ac:dyDescent="0.25">
      <c r="A226" s="8"/>
      <c r="C226" t="s">
        <v>80</v>
      </c>
      <c r="H226" t="s">
        <v>1098</v>
      </c>
      <c r="I226" t="s">
        <v>1300</v>
      </c>
      <c r="P226" s="8" t="str">
        <f t="shared" si="4"/>
        <v>"ex:hasDigitalObjectID": 
{
"@id": "#"
}</v>
      </c>
    </row>
    <row r="227" spans="1:16" x14ac:dyDescent="0.25">
      <c r="A227" s="8"/>
      <c r="C227" t="s">
        <v>82</v>
      </c>
      <c r="H227" t="s">
        <v>1077</v>
      </c>
      <c r="I227" t="s">
        <v>22</v>
      </c>
      <c r="P227" s="8" t="str">
        <f t="shared" si="4"/>
        <v>"ex:lastUsedTime": 
{
"@id": "#"
}</v>
      </c>
    </row>
    <row r="228" spans="1:16" x14ac:dyDescent="0.25">
      <c r="A228" s="8"/>
      <c r="C228" t="s">
        <v>83</v>
      </c>
      <c r="H228" t="s">
        <v>1077</v>
      </c>
      <c r="I228" t="s">
        <v>1282</v>
      </c>
      <c r="P228" s="8" t="str">
        <f t="shared" si="4"/>
        <v>"ex:lastUsedPurpose": 
{
"@id": "#"
}</v>
      </c>
    </row>
    <row r="229" spans="1:16" x14ac:dyDescent="0.25">
      <c r="A229" s="8"/>
      <c r="C229" s="34" t="s">
        <v>1289</v>
      </c>
      <c r="E229" s="34" t="s">
        <v>1267</v>
      </c>
      <c r="H229" t="s">
        <v>1269</v>
      </c>
      <c r="I229" t="s">
        <v>955</v>
      </c>
      <c r="P229" s="8" t="str">
        <f t="shared" si="4"/>
        <v>"ex:hasContainedMaterial": "",</v>
      </c>
    </row>
    <row r="230" spans="1:16" x14ac:dyDescent="0.25">
      <c r="A230" s="8"/>
      <c r="C230" t="s">
        <v>1271</v>
      </c>
      <c r="H230" t="s">
        <v>229</v>
      </c>
      <c r="I230" t="s">
        <v>1272</v>
      </c>
      <c r="P230" s="8" t="str">
        <f t="shared" si="4"/>
        <v>"ex:setSetProfiles": 
[
{
"@id": "#"
},
{
"@id": "#"
}
],</v>
      </c>
    </row>
    <row r="231" spans="1:16" x14ac:dyDescent="0.25">
      <c r="A231" s="8"/>
      <c r="C231" s="34" t="s">
        <v>903</v>
      </c>
      <c r="E231" s="34" t="s">
        <v>1267</v>
      </c>
      <c r="F231" t="s">
        <v>905</v>
      </c>
      <c r="H231" t="s">
        <v>1098</v>
      </c>
      <c r="I231" t="s">
        <v>955</v>
      </c>
      <c r="P231" s="8" t="str">
        <f t="shared" si="4"/>
        <v>"ex:hasIngoingStream": 
{
"@id": "#"
}</v>
      </c>
    </row>
    <row r="232" spans="1:16" x14ac:dyDescent="0.25">
      <c r="A232" s="8"/>
      <c r="C232" s="34" t="s">
        <v>904</v>
      </c>
      <c r="E232" s="34" t="s">
        <v>1267</v>
      </c>
      <c r="H232" t="s">
        <v>390</v>
      </c>
      <c r="I232" t="s">
        <v>955</v>
      </c>
      <c r="P232" s="8" t="str">
        <f t="shared" si="4"/>
        <v>"ex:hasOutgoingStream": 
{
"@id": "#"
}</v>
      </c>
    </row>
    <row r="233" spans="1:16" x14ac:dyDescent="0.25">
      <c r="A233" s="8"/>
      <c r="C233" t="s">
        <v>626</v>
      </c>
      <c r="G233" t="s">
        <v>1109</v>
      </c>
      <c r="H233" t="s">
        <v>1077</v>
      </c>
      <c r="I233" t="s">
        <v>9</v>
      </c>
      <c r="P233" s="8" t="str">
        <f t="shared" si="4"/>
        <v>"ex:isInstanceOf": 
{
"@id": "#"
}</v>
      </c>
    </row>
    <row r="234" spans="1:16" x14ac:dyDescent="0.25">
      <c r="A234" s="8"/>
      <c r="C234" t="s">
        <v>839</v>
      </c>
      <c r="G234" t="s">
        <v>1108</v>
      </c>
      <c r="H234" t="s">
        <v>229</v>
      </c>
      <c r="I234" t="s">
        <v>9</v>
      </c>
      <c r="P234" s="8" t="str">
        <f t="shared" si="4"/>
        <v>"ex:hasInstances": 
[
{
"@id": "#"
},
{
"@id": "#"
}
],</v>
      </c>
    </row>
    <row r="235" spans="1:16" x14ac:dyDescent="0.25">
      <c r="A235" s="8"/>
      <c r="P235" s="8" t="str">
        <f t="shared" si="4"/>
        <v/>
      </c>
    </row>
    <row r="236" spans="1:16" x14ac:dyDescent="0.25">
      <c r="A236" s="8"/>
      <c r="P236" s="8" t="str">
        <f t="shared" si="4"/>
        <v/>
      </c>
    </row>
    <row r="237" spans="1:16" x14ac:dyDescent="0.25">
      <c r="A237" s="8"/>
      <c r="P237" s="8" t="str">
        <f t="shared" si="4"/>
        <v/>
      </c>
    </row>
    <row r="238" spans="1:16" s="29" customFormat="1" x14ac:dyDescent="0.25">
      <c r="P238" s="29" t="str">
        <f t="shared" si="4"/>
        <v/>
      </c>
    </row>
    <row r="239" spans="1:16" x14ac:dyDescent="0.25">
      <c r="A239" s="8" t="s">
        <v>8</v>
      </c>
      <c r="C239" t="s">
        <v>498</v>
      </c>
      <c r="D239" t="s">
        <v>497</v>
      </c>
      <c r="G239" t="s">
        <v>1270</v>
      </c>
      <c r="H239" t="s">
        <v>629</v>
      </c>
      <c r="K239" t="s">
        <v>1091</v>
      </c>
      <c r="P239" s="8" t="str">
        <f t="shared" si="4"/>
        <v>"@id": "",</v>
      </c>
    </row>
    <row r="240" spans="1:16" x14ac:dyDescent="0.25">
      <c r="A240" s="8"/>
      <c r="C240" t="s">
        <v>225</v>
      </c>
      <c r="D240" t="s">
        <v>497</v>
      </c>
      <c r="G240" t="s">
        <v>1270</v>
      </c>
      <c r="H240" t="s">
        <v>629</v>
      </c>
      <c r="K240" t="s">
        <v>1091</v>
      </c>
      <c r="P240" s="8" t="str">
        <f t="shared" si="4"/>
        <v>"@type": "",</v>
      </c>
    </row>
    <row r="241" spans="1:16" x14ac:dyDescent="0.25">
      <c r="A241" s="8"/>
      <c r="C241" t="s">
        <v>223</v>
      </c>
      <c r="D241" t="s">
        <v>492</v>
      </c>
      <c r="G241" t="s">
        <v>1270</v>
      </c>
      <c r="H241" t="s">
        <v>629</v>
      </c>
      <c r="K241" t="s">
        <v>1091</v>
      </c>
      <c r="P241" s="8" t="str">
        <f t="shared" si="4"/>
        <v>"schema:name": "",</v>
      </c>
    </row>
    <row r="242" spans="1:16" x14ac:dyDescent="0.25">
      <c r="A242" s="8"/>
      <c r="C242" t="s">
        <v>264</v>
      </c>
      <c r="D242" t="s">
        <v>492</v>
      </c>
      <c r="G242" t="s">
        <v>1270</v>
      </c>
      <c r="H242" t="s">
        <v>629</v>
      </c>
      <c r="K242" t="s">
        <v>1092</v>
      </c>
      <c r="P242" s="8" t="str">
        <f t="shared" si="4"/>
        <v>"schema:description": "",</v>
      </c>
    </row>
    <row r="243" spans="1:16" x14ac:dyDescent="0.25">
      <c r="A243" s="8"/>
      <c r="C243" t="s">
        <v>334</v>
      </c>
      <c r="H243" t="s">
        <v>229</v>
      </c>
      <c r="I243" t="s">
        <v>1273</v>
      </c>
      <c r="J243" t="s">
        <v>906</v>
      </c>
      <c r="P243" s="8" t="str">
        <f t="shared" si="4"/>
        <v>"ex:hasContext": 
[
{
"@id": "#"
},
{
"@id": "#"
}
],</v>
      </c>
    </row>
    <row r="244" spans="1:16" x14ac:dyDescent="0.25">
      <c r="A244" s="8"/>
      <c r="C244" t="s">
        <v>80</v>
      </c>
      <c r="H244" t="s">
        <v>1070</v>
      </c>
      <c r="P244" s="8" t="str">
        <f t="shared" si="4"/>
        <v>"ex:hasDigitalObjectID": "",</v>
      </c>
    </row>
    <row r="245" spans="1:16" x14ac:dyDescent="0.25">
      <c r="A245" s="8"/>
      <c r="C245" t="s">
        <v>82</v>
      </c>
      <c r="G245" t="s">
        <v>1109</v>
      </c>
      <c r="H245" t="s">
        <v>1264</v>
      </c>
      <c r="I245" t="s">
        <v>22</v>
      </c>
      <c r="P245" s="8" t="str">
        <f t="shared" si="4"/>
        <v>"ex:lastUsedTime": 
{
"@id": "#"
}</v>
      </c>
    </row>
    <row r="246" spans="1:16" x14ac:dyDescent="0.25">
      <c r="A246" s="8"/>
      <c r="C246" t="s">
        <v>83</v>
      </c>
      <c r="G246" t="s">
        <v>1109</v>
      </c>
      <c r="H246" t="s">
        <v>1077</v>
      </c>
      <c r="I246" t="s">
        <v>1265</v>
      </c>
      <c r="P246" s="8" t="str">
        <f t="shared" si="4"/>
        <v>"ex:lastUsedPurpose": 
{
"@id": "#"
}</v>
      </c>
    </row>
    <row r="247" spans="1:16" x14ac:dyDescent="0.25">
      <c r="A247" s="8"/>
      <c r="C247" t="s">
        <v>1228</v>
      </c>
      <c r="H247" t="s">
        <v>1266</v>
      </c>
      <c r="I247" t="s">
        <v>1163</v>
      </c>
      <c r="J247" t="s">
        <v>907</v>
      </c>
      <c r="P247" s="8" t="str">
        <f t="shared" si="4"/>
        <v>"ex:hasSetProfiles": 
[
{
"@id": "#"
},
{
"@id": "#"
}
],</v>
      </c>
    </row>
    <row r="248" spans="1:16" x14ac:dyDescent="0.25">
      <c r="A248" s="8"/>
      <c r="C248" s="34" t="s">
        <v>1289</v>
      </c>
      <c r="D248" s="8"/>
      <c r="E248" s="34" t="s">
        <v>1267</v>
      </c>
      <c r="H248" t="s">
        <v>229</v>
      </c>
      <c r="I248" t="s">
        <v>955</v>
      </c>
      <c r="J248" s="8" t="s">
        <v>1051</v>
      </c>
      <c r="P248" s="8" t="str">
        <f t="shared" si="4"/>
        <v>"ex:hasContainedMaterial": 
[
{
"@id": "#"
},
{
"@id": "#"
}
],</v>
      </c>
    </row>
    <row r="249" spans="1:16" x14ac:dyDescent="0.25">
      <c r="A249" s="8"/>
      <c r="C249" s="34" t="s">
        <v>903</v>
      </c>
      <c r="E249" s="34" t="s">
        <v>1267</v>
      </c>
      <c r="H249" t="s">
        <v>1269</v>
      </c>
      <c r="I249" t="s">
        <v>955</v>
      </c>
      <c r="J249" t="s">
        <v>1052</v>
      </c>
      <c r="P249" s="8" t="str">
        <f t="shared" si="4"/>
        <v>"ex:hasIngoingStream": "",</v>
      </c>
    </row>
    <row r="250" spans="1:16" x14ac:dyDescent="0.25">
      <c r="A250" s="8"/>
      <c r="C250" s="34" t="s">
        <v>904</v>
      </c>
      <c r="E250" s="34" t="s">
        <v>1267</v>
      </c>
      <c r="H250" t="s">
        <v>1269</v>
      </c>
      <c r="I250" t="s">
        <v>955</v>
      </c>
      <c r="J250" t="s">
        <v>1053</v>
      </c>
      <c r="P250" s="8" t="str">
        <f t="shared" si="4"/>
        <v>"ex:hasOutgoingStream": "",</v>
      </c>
    </row>
    <row r="251" spans="1:16" x14ac:dyDescent="0.25">
      <c r="A251" s="8"/>
      <c r="C251" t="s">
        <v>839</v>
      </c>
      <c r="G251" t="s">
        <v>1108</v>
      </c>
      <c r="H251" t="s">
        <v>1077</v>
      </c>
      <c r="I251" t="s">
        <v>1268</v>
      </c>
      <c r="P251" s="8" t="str">
        <f t="shared" si="4"/>
        <v>"ex:hasInstances": 
{
"@id": "#"
}</v>
      </c>
    </row>
    <row r="252" spans="1:16" x14ac:dyDescent="0.25">
      <c r="A252" s="8"/>
      <c r="C252" t="s">
        <v>626</v>
      </c>
      <c r="G252" t="s">
        <v>1109</v>
      </c>
      <c r="H252" t="s">
        <v>1077</v>
      </c>
      <c r="I252" t="s">
        <v>1268</v>
      </c>
      <c r="P252" s="8" t="str">
        <f t="shared" si="4"/>
        <v>"ex:isInstanceOf": 
{
"@id": "#"
}</v>
      </c>
    </row>
    <row r="253" spans="1:16" x14ac:dyDescent="0.25">
      <c r="A253" s="8"/>
      <c r="P253" s="8" t="str">
        <f t="shared" si="4"/>
        <v/>
      </c>
    </row>
    <row r="254" spans="1:16" x14ac:dyDescent="0.25">
      <c r="A254" s="8"/>
      <c r="P254" s="8" t="str">
        <f t="shared" si="4"/>
        <v/>
      </c>
    </row>
    <row r="255" spans="1:16" s="10" customFormat="1" x14ac:dyDescent="0.25">
      <c r="A255" s="20"/>
      <c r="P255" s="20" t="str">
        <f t="shared" si="4"/>
        <v/>
      </c>
    </row>
    <row r="256" spans="1:16" x14ac:dyDescent="0.25">
      <c r="A256" s="33" t="s">
        <v>1290</v>
      </c>
      <c r="C256" t="s">
        <v>498</v>
      </c>
      <c r="D256" t="s">
        <v>497</v>
      </c>
      <c r="G256" t="s">
        <v>1270</v>
      </c>
      <c r="H256" t="s">
        <v>629</v>
      </c>
      <c r="K256" t="s">
        <v>1091</v>
      </c>
      <c r="P256" s="8" t="str">
        <f t="shared" si="4"/>
        <v>"@id": "",</v>
      </c>
    </row>
    <row r="257" spans="1:16" x14ac:dyDescent="0.25">
      <c r="A257" s="8"/>
      <c r="C257" t="s">
        <v>225</v>
      </c>
      <c r="D257" t="s">
        <v>497</v>
      </c>
      <c r="G257" t="s">
        <v>1270</v>
      </c>
      <c r="H257" t="s">
        <v>1276</v>
      </c>
      <c r="K257" t="s">
        <v>1091</v>
      </c>
      <c r="L257" t="s">
        <v>1</v>
      </c>
      <c r="P257" s="8" t="str">
        <f t="shared" si="4"/>
        <v>"@type": "Device",</v>
      </c>
    </row>
    <row r="258" spans="1:16" x14ac:dyDescent="0.25">
      <c r="A258" s="8"/>
      <c r="C258" t="s">
        <v>223</v>
      </c>
      <c r="D258" t="s">
        <v>492</v>
      </c>
      <c r="G258" t="s">
        <v>1270</v>
      </c>
      <c r="H258" t="s">
        <v>629</v>
      </c>
      <c r="K258" t="s">
        <v>1091</v>
      </c>
      <c r="P258" s="8" t="str">
        <f t="shared" si="4"/>
        <v>"schema:name": "",</v>
      </c>
    </row>
    <row r="259" spans="1:16" x14ac:dyDescent="0.25">
      <c r="A259" s="8"/>
      <c r="C259" t="s">
        <v>264</v>
      </c>
      <c r="D259" t="s">
        <v>492</v>
      </c>
      <c r="G259" t="s">
        <v>1270</v>
      </c>
      <c r="H259" t="s">
        <v>629</v>
      </c>
      <c r="K259" t="s">
        <v>1092</v>
      </c>
      <c r="P259" s="8" t="str">
        <f t="shared" si="4"/>
        <v>"schema:description": "",</v>
      </c>
    </row>
    <row r="260" spans="1:16" x14ac:dyDescent="0.25">
      <c r="A260" s="8"/>
      <c r="C260" t="s">
        <v>334</v>
      </c>
      <c r="H260" t="s">
        <v>229</v>
      </c>
      <c r="I260" t="s">
        <v>1273</v>
      </c>
      <c r="J260" t="s">
        <v>1291</v>
      </c>
      <c r="P260" s="8" t="str">
        <f t="shared" si="4"/>
        <v>"ex:hasContext": 
[
{
"@id": "#"
},
{
"@id": "#"
}
],</v>
      </c>
    </row>
    <row r="261" spans="1:16" x14ac:dyDescent="0.25">
      <c r="A261" s="8"/>
      <c r="C261" t="s">
        <v>80</v>
      </c>
      <c r="G261" t="s">
        <v>1108</v>
      </c>
      <c r="H261" t="s">
        <v>1070</v>
      </c>
      <c r="P261" s="8" t="str">
        <f t="shared" si="4"/>
        <v>"ex:hasDigitalObjectID": "",</v>
      </c>
    </row>
    <row r="262" spans="1:16" x14ac:dyDescent="0.25">
      <c r="A262" s="8"/>
      <c r="C262" t="s">
        <v>1554</v>
      </c>
      <c r="G262" t="s">
        <v>1555</v>
      </c>
    </row>
    <row r="263" spans="1:16" x14ac:dyDescent="0.25">
      <c r="A263" s="8"/>
      <c r="C263" t="s">
        <v>82</v>
      </c>
      <c r="G263" t="s">
        <v>1109</v>
      </c>
      <c r="H263" t="s">
        <v>1264</v>
      </c>
      <c r="I263" t="s">
        <v>22</v>
      </c>
      <c r="P263" s="8" t="str">
        <f t="shared" si="4"/>
        <v>"ex:lastUsedTime": 
{
"@id": "#"
}</v>
      </c>
    </row>
    <row r="264" spans="1:16" x14ac:dyDescent="0.25">
      <c r="A264" s="8"/>
      <c r="C264" t="s">
        <v>83</v>
      </c>
      <c r="G264" t="s">
        <v>1109</v>
      </c>
      <c r="H264" t="s">
        <v>1077</v>
      </c>
      <c r="I264" t="s">
        <v>1265</v>
      </c>
      <c r="P264" s="8" t="str">
        <f t="shared" si="4"/>
        <v>"ex:lastUsedPurpose": 
{
"@id": "#"
}</v>
      </c>
    </row>
    <row r="265" spans="1:16" x14ac:dyDescent="0.25">
      <c r="A265" s="8"/>
      <c r="C265" t="s">
        <v>1228</v>
      </c>
      <c r="H265" t="s">
        <v>1266</v>
      </c>
      <c r="I265" t="s">
        <v>1163</v>
      </c>
      <c r="P265" s="8" t="str">
        <f t="shared" si="4"/>
        <v>"ex:hasSetProfiles": 
[
{
"@id": "#"
},
{
"@id": "#"
}
],</v>
      </c>
    </row>
    <row r="266" spans="1:16" x14ac:dyDescent="0.25">
      <c r="A266" s="8"/>
      <c r="C266" s="34" t="s">
        <v>1289</v>
      </c>
      <c r="D266" s="8"/>
      <c r="E266" s="34" t="s">
        <v>1267</v>
      </c>
      <c r="F266" t="s">
        <v>1545</v>
      </c>
      <c r="H266" t="s">
        <v>229</v>
      </c>
      <c r="I266" t="s">
        <v>1292</v>
      </c>
      <c r="J266" s="8"/>
      <c r="P266" s="8" t="str">
        <f t="shared" si="4"/>
        <v>"ex:hasContainedMaterial": 
[
{
"@id": "#"
},
{
"@id": "#"
}
],</v>
      </c>
    </row>
    <row r="267" spans="1:16" x14ac:dyDescent="0.25">
      <c r="A267" s="8"/>
      <c r="C267" s="34" t="s">
        <v>903</v>
      </c>
      <c r="E267" s="34" t="s">
        <v>1267</v>
      </c>
      <c r="F267" t="s">
        <v>1546</v>
      </c>
      <c r="H267" t="s">
        <v>1077</v>
      </c>
      <c r="I267" t="s">
        <v>955</v>
      </c>
      <c r="P267" s="8" t="str">
        <f t="shared" si="4"/>
        <v>"ex:hasIngoingStream": 
{
"@id": "#"
}</v>
      </c>
    </row>
    <row r="268" spans="1:16" s="1" customFormat="1" x14ac:dyDescent="0.25">
      <c r="A268" s="32"/>
      <c r="C268" s="34" t="s">
        <v>904</v>
      </c>
      <c r="D268"/>
      <c r="E268" s="34" t="s">
        <v>1267</v>
      </c>
      <c r="F268" t="s">
        <v>1546</v>
      </c>
      <c r="G268"/>
      <c r="H268" t="s">
        <v>1077</v>
      </c>
      <c r="I268" t="s">
        <v>955</v>
      </c>
      <c r="J268"/>
      <c r="K268"/>
      <c r="P268" s="32"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8"/>
      <c r="C269" t="s">
        <v>839</v>
      </c>
      <c r="G269" t="s">
        <v>1108</v>
      </c>
      <c r="H269" t="s">
        <v>229</v>
      </c>
      <c r="I269" t="s">
        <v>1</v>
      </c>
      <c r="P269" s="8" t="str">
        <f t="shared" si="5"/>
        <v>"ex:hasInstances": 
[
{
"@id": "#"
},
{
"@id": "#"
}
],</v>
      </c>
    </row>
    <row r="270" spans="1:16" x14ac:dyDescent="0.25">
      <c r="C270" t="s">
        <v>626</v>
      </c>
      <c r="G270" t="s">
        <v>1109</v>
      </c>
      <c r="H270" t="s">
        <v>1077</v>
      </c>
      <c r="I270" t="s">
        <v>1</v>
      </c>
      <c r="P270" s="8" t="str">
        <f t="shared" si="5"/>
        <v>"ex:isInstanceOf": 
{
"@id": "#"
}</v>
      </c>
    </row>
    <row r="271" spans="1:16" x14ac:dyDescent="0.25">
      <c r="C271" s="8" t="s">
        <v>1293</v>
      </c>
      <c r="E271" s="8" t="s">
        <v>1294</v>
      </c>
      <c r="H271" t="s">
        <v>229</v>
      </c>
      <c r="I271" t="s">
        <v>1232</v>
      </c>
      <c r="P271" s="8" t="str">
        <f t="shared" si="5"/>
        <v>"ex:hasPorts": 
[
{
"@id": "#"
},
{
"@id": "#"
}
],</v>
      </c>
    </row>
    <row r="272" spans="1:16" x14ac:dyDescent="0.25">
      <c r="C272" s="8"/>
      <c r="E272" s="8"/>
      <c r="P272" s="8" t="str">
        <f t="shared" si="5"/>
        <v/>
      </c>
    </row>
    <row r="273" spans="1:16" x14ac:dyDescent="0.25">
      <c r="C273" s="8"/>
      <c r="E273" s="8"/>
      <c r="P273" s="8" t="str">
        <f t="shared" si="5"/>
        <v/>
      </c>
    </row>
    <row r="274" spans="1:16" x14ac:dyDescent="0.25">
      <c r="C274" s="8"/>
      <c r="E274" s="8"/>
      <c r="P274" s="8" t="str">
        <f t="shared" si="5"/>
        <v/>
      </c>
    </row>
    <row r="275" spans="1:16" x14ac:dyDescent="0.25">
      <c r="C275" s="8"/>
      <c r="E275" s="8"/>
      <c r="P275" s="8" t="str">
        <f t="shared" si="5"/>
        <v/>
      </c>
    </row>
    <row r="276" spans="1:16" x14ac:dyDescent="0.25">
      <c r="P276" s="8" t="str">
        <f t="shared" si="5"/>
        <v/>
      </c>
    </row>
    <row r="277" spans="1:16" s="10" customFormat="1" x14ac:dyDescent="0.25">
      <c r="P277" s="20" t="str">
        <f t="shared" si="5"/>
        <v/>
      </c>
    </row>
    <row r="278" spans="1:16" x14ac:dyDescent="0.25">
      <c r="A278" s="6" t="s">
        <v>1232</v>
      </c>
      <c r="C278" t="s">
        <v>498</v>
      </c>
      <c r="D278" t="s">
        <v>497</v>
      </c>
      <c r="G278" t="s">
        <v>1270</v>
      </c>
      <c r="H278" t="s">
        <v>629</v>
      </c>
      <c r="K278" t="s">
        <v>1091</v>
      </c>
      <c r="P278" s="8" t="str">
        <f t="shared" si="5"/>
        <v>"@id": "",</v>
      </c>
    </row>
    <row r="279" spans="1:16" x14ac:dyDescent="0.25">
      <c r="C279" t="s">
        <v>225</v>
      </c>
      <c r="D279" t="s">
        <v>497</v>
      </c>
      <c r="G279" t="s">
        <v>1270</v>
      </c>
      <c r="H279" t="s">
        <v>1276</v>
      </c>
      <c r="K279" t="s">
        <v>1091</v>
      </c>
      <c r="L279" t="s">
        <v>1232</v>
      </c>
      <c r="P279" s="8" t="str">
        <f t="shared" si="5"/>
        <v>"@type": "Port",</v>
      </c>
    </row>
    <row r="280" spans="1:16" x14ac:dyDescent="0.25">
      <c r="C280" t="s">
        <v>223</v>
      </c>
      <c r="D280" t="s">
        <v>492</v>
      </c>
      <c r="G280" t="s">
        <v>1270</v>
      </c>
      <c r="H280" t="s">
        <v>629</v>
      </c>
      <c r="K280" t="s">
        <v>1091</v>
      </c>
      <c r="P280" s="8" t="str">
        <f t="shared" si="5"/>
        <v>"schema:name": "",</v>
      </c>
    </row>
    <row r="281" spans="1:16" x14ac:dyDescent="0.25">
      <c r="C281" t="s">
        <v>264</v>
      </c>
      <c r="D281" t="s">
        <v>492</v>
      </c>
      <c r="G281" t="s">
        <v>1270</v>
      </c>
      <c r="H281" t="s">
        <v>629</v>
      </c>
      <c r="K281" t="s">
        <v>1092</v>
      </c>
      <c r="P281" s="8" t="str">
        <f t="shared" si="5"/>
        <v>"schema:description": "",</v>
      </c>
    </row>
    <row r="282" spans="1:16" x14ac:dyDescent="0.25">
      <c r="C282" t="s">
        <v>1295</v>
      </c>
      <c r="E282" t="s">
        <v>19</v>
      </c>
      <c r="F282" t="s">
        <v>1513</v>
      </c>
      <c r="H282" t="s">
        <v>1077</v>
      </c>
      <c r="I282" t="s">
        <v>19</v>
      </c>
      <c r="K282" t="s">
        <v>1092</v>
      </c>
      <c r="P282" s="8" t="str">
        <f t="shared" si="5"/>
        <v>"ex:belongsTo": 
{
"@id": "#"
}</v>
      </c>
    </row>
    <row r="283" spans="1:16" x14ac:dyDescent="0.25">
      <c r="C283" t="s">
        <v>405</v>
      </c>
      <c r="E283" t="s">
        <v>1296</v>
      </c>
      <c r="H283" t="s">
        <v>1281</v>
      </c>
      <c r="P283" s="8" t="str">
        <f t="shared" si="5"/>
        <v>"ex:hasRole": "",</v>
      </c>
    </row>
    <row r="284" spans="1:16" x14ac:dyDescent="0.25">
      <c r="C284" t="s">
        <v>1299</v>
      </c>
      <c r="E284" t="s">
        <v>1297</v>
      </c>
      <c r="H284" t="s">
        <v>229</v>
      </c>
      <c r="I284" t="s">
        <v>1298</v>
      </c>
      <c r="P284" s="8" t="str">
        <f t="shared" si="5"/>
        <v>"ex:hasStream": 
[
{
"@id": "#"
},
{
"@id": "#"
}
],</v>
      </c>
    </row>
    <row r="285" spans="1:16" x14ac:dyDescent="0.25">
      <c r="P285" s="8" t="str">
        <f t="shared" si="5"/>
        <v/>
      </c>
    </row>
    <row r="286" spans="1:16" x14ac:dyDescent="0.25">
      <c r="P286" s="8" t="str">
        <f t="shared" si="5"/>
        <v/>
      </c>
    </row>
    <row r="287" spans="1:16" s="1" customFormat="1" x14ac:dyDescent="0.25">
      <c r="P287" s="32" t="str">
        <f t="shared" si="5"/>
        <v/>
      </c>
    </row>
    <row r="288" spans="1:16" x14ac:dyDescent="0.25">
      <c r="P288" s="8" t="str">
        <f t="shared" si="5"/>
        <v/>
      </c>
    </row>
    <row r="289" spans="1:16" x14ac:dyDescent="0.25">
      <c r="P289" s="8" t="str">
        <f t="shared" si="5"/>
        <v/>
      </c>
    </row>
    <row r="290" spans="1:16" x14ac:dyDescent="0.25">
      <c r="P290" s="8" t="str">
        <f t="shared" si="5"/>
        <v/>
      </c>
    </row>
    <row r="291" spans="1:16" s="29" customFormat="1" x14ac:dyDescent="0.25">
      <c r="P291" s="29" t="str">
        <f t="shared" si="5"/>
        <v/>
      </c>
    </row>
    <row r="292" spans="1:16" x14ac:dyDescent="0.25">
      <c r="A292" s="8" t="s">
        <v>609</v>
      </c>
      <c r="C292" s="8" t="s">
        <v>498</v>
      </c>
      <c r="D292" s="8" t="s">
        <v>497</v>
      </c>
      <c r="G292" t="s">
        <v>1270</v>
      </c>
      <c r="H292" t="s">
        <v>629</v>
      </c>
      <c r="K292" t="s">
        <v>1091</v>
      </c>
      <c r="P292" s="8" t="str">
        <f t="shared" si="5"/>
        <v>"@id": "",</v>
      </c>
    </row>
    <row r="293" spans="1:16" x14ac:dyDescent="0.25">
      <c r="A293" s="8" t="s">
        <v>1071</v>
      </c>
      <c r="C293" s="8" t="s">
        <v>225</v>
      </c>
      <c r="D293" s="8" t="s">
        <v>497</v>
      </c>
      <c r="G293" t="s">
        <v>1270</v>
      </c>
      <c r="H293" t="s">
        <v>1276</v>
      </c>
      <c r="K293" t="s">
        <v>1091</v>
      </c>
      <c r="L293" t="s">
        <v>609</v>
      </c>
      <c r="M293" t="s">
        <v>1559</v>
      </c>
      <c r="P293" s="8" t="str">
        <f t="shared" si="5"/>
        <v>"@type": "sosa:Sensor",</v>
      </c>
    </row>
    <row r="294" spans="1:16" x14ac:dyDescent="0.25">
      <c r="A294" s="8"/>
      <c r="C294" t="s">
        <v>223</v>
      </c>
      <c r="D294" t="s">
        <v>492</v>
      </c>
      <c r="G294" t="s">
        <v>1270</v>
      </c>
      <c r="H294" t="s">
        <v>629</v>
      </c>
      <c r="K294" t="s">
        <v>1091</v>
      </c>
      <c r="P294" s="8" t="str">
        <f t="shared" si="5"/>
        <v>"schema:name": "",</v>
      </c>
    </row>
    <row r="295" spans="1:16" x14ac:dyDescent="0.25">
      <c r="A295" s="8"/>
      <c r="C295" t="s">
        <v>264</v>
      </c>
      <c r="D295" t="s">
        <v>492</v>
      </c>
      <c r="G295" t="s">
        <v>1270</v>
      </c>
      <c r="H295" t="s">
        <v>629</v>
      </c>
      <c r="K295" t="s">
        <v>1092</v>
      </c>
      <c r="P295" s="8" t="str">
        <f t="shared" si="5"/>
        <v>"schema:description": "",</v>
      </c>
    </row>
    <row r="296" spans="1:16" x14ac:dyDescent="0.25">
      <c r="A296" s="8"/>
      <c r="C296" t="s">
        <v>80</v>
      </c>
      <c r="H296" t="s">
        <v>1077</v>
      </c>
      <c r="I296" t="s">
        <v>19</v>
      </c>
      <c r="K296" t="s">
        <v>1092</v>
      </c>
      <c r="P296" s="8" t="str">
        <f t="shared" si="5"/>
        <v>"ex:hasDigitalObjectID": 
{
"@id": "#"
}</v>
      </c>
    </row>
    <row r="297" spans="1:16" x14ac:dyDescent="0.25">
      <c r="A297" s="8"/>
      <c r="C297" s="8" t="s">
        <v>82</v>
      </c>
      <c r="E297" t="s">
        <v>1569</v>
      </c>
      <c r="G297" t="s">
        <v>1109</v>
      </c>
      <c r="H297" t="s">
        <v>1077</v>
      </c>
      <c r="I297" t="s">
        <v>151</v>
      </c>
      <c r="P297" s="8" t="str">
        <f t="shared" si="5"/>
        <v>"ex:lastUsedTime": 
{
"@id": "#"
}</v>
      </c>
    </row>
    <row r="298" spans="1:16" x14ac:dyDescent="0.25">
      <c r="A298" s="8"/>
      <c r="C298" s="8" t="s">
        <v>83</v>
      </c>
      <c r="E298" t="s">
        <v>1569</v>
      </c>
      <c r="G298" t="s">
        <v>1109</v>
      </c>
      <c r="H298" t="s">
        <v>1570</v>
      </c>
      <c r="I298" t="s">
        <v>235</v>
      </c>
      <c r="P298" s="8" t="str">
        <f t="shared" si="5"/>
        <v>"ex:lastUsedPurpose": "",</v>
      </c>
    </row>
    <row r="299" spans="1:16" x14ac:dyDescent="0.25">
      <c r="A299" s="8"/>
      <c r="C299" t="s">
        <v>1572</v>
      </c>
      <c r="D299" t="s">
        <v>1559</v>
      </c>
      <c r="E299" t="s">
        <v>610</v>
      </c>
      <c r="F299" t="s">
        <v>1571</v>
      </c>
      <c r="H299" t="s">
        <v>1077</v>
      </c>
      <c r="I299" t="s">
        <v>1577</v>
      </c>
      <c r="P299" s="8" t="str">
        <f t="shared" si="5"/>
        <v>"sosa:implements": 
{
"@id": "#"
}</v>
      </c>
    </row>
    <row r="300" spans="1:16" x14ac:dyDescent="0.25">
      <c r="A300" s="8"/>
      <c r="C300" t="s">
        <v>615</v>
      </c>
      <c r="E300" t="s">
        <v>616</v>
      </c>
      <c r="F300" t="s">
        <v>1573</v>
      </c>
      <c r="G300" t="s">
        <v>1582</v>
      </c>
      <c r="H300" t="s">
        <v>1077</v>
      </c>
      <c r="I300" t="s">
        <v>19</v>
      </c>
      <c r="P300" s="8" t="str">
        <f t="shared" si="5"/>
        <v>"ex:location": 
{
"@id": "#"
}</v>
      </c>
    </row>
    <row r="301" spans="1:16" x14ac:dyDescent="0.25">
      <c r="C301" t="s">
        <v>1561</v>
      </c>
      <c r="D301" t="s">
        <v>1559</v>
      </c>
      <c r="E301" t="s">
        <v>1564</v>
      </c>
      <c r="F301" t="s">
        <v>1563</v>
      </c>
      <c r="H301" t="s">
        <v>1077</v>
      </c>
      <c r="I301" t="s">
        <v>1576</v>
      </c>
      <c r="P301" s="8" t="str">
        <f t="shared" si="5"/>
        <v>"sosa:madeObservation": 
{
"@id": "#"
}</v>
      </c>
    </row>
    <row r="302" spans="1:16" x14ac:dyDescent="0.25">
      <c r="C302" t="s">
        <v>1565</v>
      </c>
      <c r="D302" t="s">
        <v>1559</v>
      </c>
      <c r="E302" t="s">
        <v>1562</v>
      </c>
      <c r="F302" t="s">
        <v>1566</v>
      </c>
      <c r="H302" t="s">
        <v>229</v>
      </c>
      <c r="I302" t="s">
        <v>1120</v>
      </c>
      <c r="P302" s="8" t="str">
        <f t="shared" si="5"/>
        <v>"sosa:observes": 
[
{
"@id": "#"
},
{
"@id": "#"
}
],</v>
      </c>
    </row>
    <row r="303" spans="1:16" x14ac:dyDescent="0.25">
      <c r="C303" t="s">
        <v>839</v>
      </c>
      <c r="H303" t="s">
        <v>229</v>
      </c>
      <c r="I303" t="s">
        <v>609</v>
      </c>
      <c r="P303" s="8" t="str">
        <f t="shared" si="5"/>
        <v>"ex:hasInstances": 
[
{
"@id": "#"
},
{
"@id": "#"
}
],</v>
      </c>
    </row>
    <row r="304" spans="1:16" x14ac:dyDescent="0.25">
      <c r="C304" t="s">
        <v>626</v>
      </c>
      <c r="H304" t="s">
        <v>1077</v>
      </c>
      <c r="I304" t="s">
        <v>609</v>
      </c>
      <c r="P304" s="8" t="str">
        <f t="shared" si="5"/>
        <v>"ex:isInstanceOf": 
{
"@id": "#"
}</v>
      </c>
    </row>
    <row r="305" spans="1:16" x14ac:dyDescent="0.25">
      <c r="P305" s="8" t="str">
        <f t="shared" si="5"/>
        <v/>
      </c>
    </row>
    <row r="306" spans="1:16" x14ac:dyDescent="0.25">
      <c r="P306" s="8" t="str">
        <f t="shared" si="5"/>
        <v/>
      </c>
    </row>
    <row r="307" spans="1:16" x14ac:dyDescent="0.25">
      <c r="P307" s="8" t="str">
        <f t="shared" si="5"/>
        <v/>
      </c>
    </row>
    <row r="308" spans="1:16" s="7" customFormat="1" x14ac:dyDescent="0.25">
      <c r="C308" s="7" t="s">
        <v>1560</v>
      </c>
      <c r="D308" s="7" t="s">
        <v>1559</v>
      </c>
      <c r="E308" s="7" t="s">
        <v>1575</v>
      </c>
      <c r="F308" s="7" t="s">
        <v>1574</v>
      </c>
      <c r="P308" s="8" t="str">
        <f t="shared" si="5"/>
        <v>"sosa:forProperty": "",</v>
      </c>
    </row>
    <row r="309" spans="1:16" x14ac:dyDescent="0.25">
      <c r="P309" s="8" t="str">
        <f t="shared" si="5"/>
        <v/>
      </c>
    </row>
    <row r="310" spans="1:16" x14ac:dyDescent="0.25">
      <c r="P310" s="8" t="str">
        <f t="shared" si="5"/>
        <v/>
      </c>
    </row>
    <row r="311" spans="1:16" s="31" customFormat="1" x14ac:dyDescent="0.25">
      <c r="A311" s="31" t="s">
        <v>1085</v>
      </c>
      <c r="P311" s="28" t="str">
        <f t="shared" si="5"/>
        <v/>
      </c>
    </row>
    <row r="312" spans="1:16" s="29" customFormat="1" hidden="1" x14ac:dyDescent="0.25">
      <c r="P312" s="29" t="str">
        <f t="shared" si="5"/>
        <v/>
      </c>
    </row>
    <row r="313" spans="1:16" hidden="1" x14ac:dyDescent="0.25">
      <c r="A313" s="8" t="s">
        <v>955</v>
      </c>
      <c r="B313" t="s">
        <v>1005</v>
      </c>
      <c r="C313" t="s">
        <v>498</v>
      </c>
      <c r="D313" t="s">
        <v>497</v>
      </c>
      <c r="J313" t="s">
        <v>983</v>
      </c>
      <c r="P313" s="8" t="str">
        <f t="shared" si="5"/>
        <v>"@id": "",</v>
      </c>
    </row>
    <row r="314" spans="1:16" hidden="1" x14ac:dyDescent="0.25">
      <c r="A314" s="8" t="s">
        <v>1179</v>
      </c>
      <c r="C314" t="s">
        <v>225</v>
      </c>
      <c r="D314" t="s">
        <v>497</v>
      </c>
      <c r="P314" s="8" t="str">
        <f t="shared" si="5"/>
        <v>"@type": "",</v>
      </c>
    </row>
    <row r="315" spans="1:16" hidden="1" x14ac:dyDescent="0.25">
      <c r="A315" s="8"/>
      <c r="C315" t="s">
        <v>223</v>
      </c>
      <c r="D315" t="s">
        <v>492</v>
      </c>
      <c r="P315" s="8" t="str">
        <f t="shared" si="5"/>
        <v>"schema:name": "",</v>
      </c>
    </row>
    <row r="316" spans="1:16" hidden="1" x14ac:dyDescent="0.25">
      <c r="A316" s="8"/>
      <c r="C316" t="s">
        <v>264</v>
      </c>
      <c r="D316" t="s">
        <v>492</v>
      </c>
      <c r="P316" s="8" t="str">
        <f t="shared" si="5"/>
        <v>"schema:description": "",</v>
      </c>
    </row>
    <row r="317" spans="1:16" hidden="1" x14ac:dyDescent="0.25">
      <c r="A317" s="8"/>
      <c r="C317" t="s">
        <v>991</v>
      </c>
      <c r="H317" t="s">
        <v>229</v>
      </c>
      <c r="I317" t="s">
        <v>1046</v>
      </c>
      <c r="J317" t="s">
        <v>981</v>
      </c>
      <c r="P317" s="8" t="str">
        <f t="shared" si="5"/>
        <v>"ex:hasPhases": 
[
{
"@id": "#"
},
{
"@id": "#"
}
],</v>
      </c>
    </row>
    <row r="318" spans="1:16" hidden="1" x14ac:dyDescent="0.25">
      <c r="A318" s="8"/>
      <c r="C318" t="s">
        <v>1001</v>
      </c>
      <c r="E318" t="s">
        <v>1003</v>
      </c>
      <c r="H318" t="s">
        <v>1098</v>
      </c>
      <c r="J318" t="s">
        <v>1002</v>
      </c>
      <c r="P318" s="8" t="str">
        <f t="shared" si="5"/>
        <v>"ex:isLocatedIn": 
{
"@id": "#"
}</v>
      </c>
    </row>
    <row r="319" spans="1:16" hidden="1" x14ac:dyDescent="0.25">
      <c r="A319" s="8"/>
      <c r="C319" t="s">
        <v>839</v>
      </c>
      <c r="H319" t="s">
        <v>229</v>
      </c>
      <c r="I319" t="s">
        <v>1050</v>
      </c>
      <c r="P319" s="8" t="str">
        <f t="shared" si="5"/>
        <v>"ex:hasInstances": 
[
{
"@id": "#"
},
{
"@id": "#"
}
],</v>
      </c>
    </row>
    <row r="320" spans="1:16" hidden="1" x14ac:dyDescent="0.25">
      <c r="A320" s="8"/>
      <c r="P320" s="8" t="str">
        <f t="shared" si="5"/>
        <v/>
      </c>
    </row>
    <row r="321" spans="1:16" hidden="1" x14ac:dyDescent="0.25">
      <c r="A321" s="8"/>
      <c r="P321" s="8" t="str">
        <f t="shared" si="5"/>
        <v/>
      </c>
    </row>
    <row r="322" spans="1:16" hidden="1" x14ac:dyDescent="0.25">
      <c r="A322" s="8"/>
      <c r="P322" s="8" t="str">
        <f t="shared" si="5"/>
        <v/>
      </c>
    </row>
    <row r="323" spans="1:16" hidden="1" x14ac:dyDescent="0.25">
      <c r="A323" s="8"/>
      <c r="P323" s="8" t="str">
        <f t="shared" si="5"/>
        <v/>
      </c>
    </row>
    <row r="324" spans="1:16" hidden="1" x14ac:dyDescent="0.25">
      <c r="A324" s="8"/>
      <c r="B324" t="s">
        <v>1004</v>
      </c>
      <c r="C324" t="s">
        <v>498</v>
      </c>
      <c r="P324" s="8" t="str">
        <f t="shared" si="5"/>
        <v>"ex:id": "",</v>
      </c>
    </row>
    <row r="325" spans="1:16" hidden="1" x14ac:dyDescent="0.25">
      <c r="A325" s="8"/>
      <c r="C325" t="s">
        <v>225</v>
      </c>
      <c r="P325" s="8" t="str">
        <f t="shared" si="5"/>
        <v>"ex:type": "",</v>
      </c>
    </row>
    <row r="326" spans="1:16" hidden="1" x14ac:dyDescent="0.25">
      <c r="A326" s="8"/>
      <c r="C326" t="s">
        <v>223</v>
      </c>
      <c r="P326" s="8" t="str">
        <f t="shared" si="5"/>
        <v>"ex:name": "",</v>
      </c>
    </row>
    <row r="327" spans="1:16" hidden="1" x14ac:dyDescent="0.25">
      <c r="A327" s="8"/>
      <c r="C327" t="s">
        <v>264</v>
      </c>
      <c r="P327" s="8" t="str">
        <f t="shared" si="5"/>
        <v>"ex:description": "",</v>
      </c>
    </row>
    <row r="328" spans="1:16" hidden="1" x14ac:dyDescent="0.25">
      <c r="A328" s="8"/>
      <c r="C328" t="s">
        <v>991</v>
      </c>
      <c r="E328" t="s">
        <v>1032</v>
      </c>
      <c r="H328" t="s">
        <v>229</v>
      </c>
      <c r="J328" t="s">
        <v>998</v>
      </c>
      <c r="P328" s="8" t="str">
        <f t="shared" si="5"/>
        <v>"ex:hasPhases": 
[
{
"@id": "#"
},
{
"@id": "#"
}
],</v>
      </c>
    </row>
    <row r="329" spans="1:16" hidden="1" x14ac:dyDescent="0.25">
      <c r="A329" s="8"/>
      <c r="C329" t="s">
        <v>919</v>
      </c>
      <c r="E329" t="s">
        <v>189</v>
      </c>
      <c r="H329" t="s">
        <v>1098</v>
      </c>
      <c r="P329" s="8" t="str">
        <f t="shared" si="5"/>
        <v>"ex:hasSource": 
{
"@id": "#"
}</v>
      </c>
    </row>
    <row r="330" spans="1:16" hidden="1" x14ac:dyDescent="0.25">
      <c r="A330" s="8"/>
      <c r="C330" t="s">
        <v>920</v>
      </c>
      <c r="E330" t="s">
        <v>16</v>
      </c>
      <c r="H330" t="s">
        <v>1098</v>
      </c>
      <c r="P330" s="8" t="str">
        <f t="shared" si="5"/>
        <v>"ex:hasDestination": 
{
"@id": "#"
}</v>
      </c>
    </row>
    <row r="331" spans="1:16" hidden="1" x14ac:dyDescent="0.25">
      <c r="A331" s="8"/>
      <c r="C331" t="s">
        <v>1029</v>
      </c>
      <c r="E331" t="s">
        <v>1030</v>
      </c>
      <c r="H331" t="s">
        <v>1098</v>
      </c>
      <c r="J331" t="s">
        <v>998</v>
      </c>
      <c r="P331" s="8" t="str">
        <f t="shared" si="5"/>
        <v>"ex:addsToPhase": 
{
"@id": "#"
}</v>
      </c>
    </row>
    <row r="332" spans="1:16" hidden="1" x14ac:dyDescent="0.25">
      <c r="A332" s="8"/>
      <c r="C332" t="s">
        <v>1054</v>
      </c>
      <c r="E332" t="s">
        <v>1031</v>
      </c>
      <c r="H332" t="s">
        <v>1098</v>
      </c>
      <c r="P332" s="8" t="str">
        <f t="shared" si="5"/>
        <v>"ex:removesFromPhase": 
{
"@id": "#"
}</v>
      </c>
    </row>
    <row r="333" spans="1:16" s="7" customFormat="1" hidden="1" x14ac:dyDescent="0.25">
      <c r="C333" s="7" t="s">
        <v>1033</v>
      </c>
      <c r="E333" s="7" t="s">
        <v>1034</v>
      </c>
      <c r="F333" s="7" t="s">
        <v>1055</v>
      </c>
      <c r="P333" s="8" t="str">
        <f t="shared" si="5"/>
        <v>"ex:hasFollowingStream": "",</v>
      </c>
    </row>
    <row r="334" spans="1:16" hidden="1" x14ac:dyDescent="0.25">
      <c r="A334" s="8"/>
      <c r="C334" t="s">
        <v>839</v>
      </c>
      <c r="H334" t="s">
        <v>229</v>
      </c>
      <c r="P334" s="8" t="str">
        <f t="shared" si="5"/>
        <v>"ex:hasInstances": 
[
{
"@id": "#"
},
{
"@id": "#"
}
],</v>
      </c>
    </row>
    <row r="335" spans="1:16" hidden="1" x14ac:dyDescent="0.25">
      <c r="A335" s="8"/>
      <c r="P335" s="8" t="str">
        <f t="shared" si="5"/>
        <v/>
      </c>
    </row>
    <row r="336" spans="1:16" hidden="1" x14ac:dyDescent="0.25">
      <c r="A336" s="8"/>
      <c r="P336" s="8" t="str">
        <f t="shared" si="5"/>
        <v/>
      </c>
    </row>
    <row r="337" spans="1:16" s="10" customFormat="1" hidden="1" x14ac:dyDescent="0.25">
      <c r="A337" s="20"/>
      <c r="P337" s="20" t="str">
        <f t="shared" si="5"/>
        <v/>
      </c>
    </row>
    <row r="338" spans="1:16" hidden="1" x14ac:dyDescent="0.25">
      <c r="A338" s="8" t="s">
        <v>1045</v>
      </c>
      <c r="B338" t="s">
        <v>1005</v>
      </c>
      <c r="C338" t="s">
        <v>498</v>
      </c>
      <c r="D338" t="s">
        <v>497</v>
      </c>
      <c r="J338" t="s">
        <v>983</v>
      </c>
      <c r="P338" s="8"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8"/>
      <c r="C339" t="s">
        <v>225</v>
      </c>
      <c r="D339" t="s">
        <v>497</v>
      </c>
      <c r="P339" s="8" t="str">
        <f t="shared" si="6"/>
        <v>"@type": "",</v>
      </c>
    </row>
    <row r="340" spans="1:16" hidden="1" x14ac:dyDescent="0.25">
      <c r="A340" s="8"/>
      <c r="C340" t="s">
        <v>223</v>
      </c>
      <c r="D340" t="s">
        <v>492</v>
      </c>
      <c r="P340" s="8" t="str">
        <f t="shared" si="6"/>
        <v>"schema:name": "",</v>
      </c>
    </row>
    <row r="341" spans="1:16" hidden="1" x14ac:dyDescent="0.25">
      <c r="A341" s="8"/>
      <c r="C341" t="s">
        <v>264</v>
      </c>
      <c r="D341" t="s">
        <v>492</v>
      </c>
      <c r="P341" s="8" t="str">
        <f t="shared" si="6"/>
        <v>"schema:description": "",</v>
      </c>
    </row>
    <row r="342" spans="1:16" hidden="1" x14ac:dyDescent="0.25">
      <c r="A342" s="8"/>
      <c r="C342" t="s">
        <v>991</v>
      </c>
      <c r="E342" t="s">
        <v>1097</v>
      </c>
      <c r="H342" t="s">
        <v>229</v>
      </c>
      <c r="I342" t="s">
        <v>1048</v>
      </c>
      <c r="J342" t="s">
        <v>1047</v>
      </c>
      <c r="P342" s="8" t="str">
        <f t="shared" si="6"/>
        <v>"ex:hasPhases": 
[
{
"@id": "#"
},
{
"@id": "#"
}
],</v>
      </c>
    </row>
    <row r="343" spans="1:16" hidden="1" x14ac:dyDescent="0.25">
      <c r="A343" s="8"/>
      <c r="C343" s="7" t="s">
        <v>1001</v>
      </c>
      <c r="E343" s="7" t="s">
        <v>1003</v>
      </c>
      <c r="F343" t="s">
        <v>1049</v>
      </c>
      <c r="H343" t="s">
        <v>1077</v>
      </c>
      <c r="J343" t="s">
        <v>1002</v>
      </c>
      <c r="P343" s="8" t="str">
        <f t="shared" si="6"/>
        <v>"ex:isLocatedIn": 
{
"@id": "#"
}</v>
      </c>
    </row>
    <row r="344" spans="1:16" hidden="1" x14ac:dyDescent="0.25">
      <c r="A344" s="8"/>
      <c r="C344" t="s">
        <v>626</v>
      </c>
      <c r="H344" t="s">
        <v>1077</v>
      </c>
      <c r="I344" t="s">
        <v>1037</v>
      </c>
      <c r="J344" t="s">
        <v>1009</v>
      </c>
      <c r="P344" s="8" t="str">
        <f t="shared" si="6"/>
        <v>"ex:isInstanceOf": 
{
"@id": "#"
}</v>
      </c>
    </row>
    <row r="345" spans="1:16" hidden="1" x14ac:dyDescent="0.25">
      <c r="A345" s="8"/>
      <c r="P345" s="8" t="str">
        <f t="shared" si="6"/>
        <v/>
      </c>
    </row>
    <row r="346" spans="1:16" hidden="1" x14ac:dyDescent="0.25">
      <c r="A346" s="8"/>
      <c r="P346" s="8" t="str">
        <f t="shared" si="6"/>
        <v/>
      </c>
    </row>
    <row r="347" spans="1:16" hidden="1" x14ac:dyDescent="0.25">
      <c r="A347" s="8"/>
      <c r="P347" s="8" t="str">
        <f t="shared" si="6"/>
        <v/>
      </c>
    </row>
    <row r="348" spans="1:16" hidden="1" x14ac:dyDescent="0.25">
      <c r="A348" s="8"/>
      <c r="P348" s="8" t="str">
        <f t="shared" si="6"/>
        <v/>
      </c>
    </row>
    <row r="349" spans="1:16" hidden="1" x14ac:dyDescent="0.25">
      <c r="A349" s="8"/>
      <c r="B349" t="s">
        <v>1004</v>
      </c>
      <c r="C349" t="s">
        <v>498</v>
      </c>
      <c r="P349" s="8" t="str">
        <f t="shared" si="6"/>
        <v>"ex:id": "",</v>
      </c>
    </row>
    <row r="350" spans="1:16" hidden="1" x14ac:dyDescent="0.25">
      <c r="A350" s="8"/>
      <c r="C350" t="s">
        <v>225</v>
      </c>
      <c r="P350" s="8" t="str">
        <f t="shared" si="6"/>
        <v>"ex:type": "",</v>
      </c>
    </row>
    <row r="351" spans="1:16" hidden="1" x14ac:dyDescent="0.25">
      <c r="A351" s="8"/>
      <c r="C351" t="s">
        <v>223</v>
      </c>
      <c r="P351" s="8" t="str">
        <f t="shared" si="6"/>
        <v>"ex:name": "",</v>
      </c>
    </row>
    <row r="352" spans="1:16" hidden="1" x14ac:dyDescent="0.25">
      <c r="A352" s="8"/>
      <c r="C352" t="s">
        <v>264</v>
      </c>
      <c r="P352" s="8" t="str">
        <f t="shared" si="6"/>
        <v>"ex:description": "",</v>
      </c>
    </row>
    <row r="353" spans="1:16" hidden="1" x14ac:dyDescent="0.25">
      <c r="A353" s="8"/>
      <c r="C353" t="s">
        <v>991</v>
      </c>
      <c r="E353" t="s">
        <v>1032</v>
      </c>
      <c r="H353" t="s">
        <v>229</v>
      </c>
      <c r="J353" t="s">
        <v>998</v>
      </c>
      <c r="P353" s="8" t="str">
        <f t="shared" si="6"/>
        <v>"ex:hasPhases": 
[
{
"@id": "#"
},
{
"@id": "#"
}
],</v>
      </c>
    </row>
    <row r="354" spans="1:16" hidden="1" x14ac:dyDescent="0.25">
      <c r="A354" s="8"/>
      <c r="C354" t="s">
        <v>919</v>
      </c>
      <c r="E354" t="s">
        <v>189</v>
      </c>
      <c r="H354" t="s">
        <v>1077</v>
      </c>
      <c r="P354" s="8" t="str">
        <f t="shared" si="6"/>
        <v>"ex:hasSource": 
{
"@id": "#"
}</v>
      </c>
    </row>
    <row r="355" spans="1:16" hidden="1" x14ac:dyDescent="0.25">
      <c r="A355" s="8"/>
      <c r="C355" t="s">
        <v>920</v>
      </c>
      <c r="E355" t="s">
        <v>16</v>
      </c>
      <c r="H355" t="s">
        <v>1077</v>
      </c>
      <c r="P355" s="8" t="str">
        <f t="shared" si="6"/>
        <v>"ex:hasDestination": 
{
"@id": "#"
}</v>
      </c>
    </row>
    <row r="356" spans="1:16" hidden="1" x14ac:dyDescent="0.25">
      <c r="A356" s="8"/>
      <c r="C356" t="s">
        <v>1029</v>
      </c>
      <c r="E356" t="s">
        <v>1030</v>
      </c>
      <c r="H356" t="s">
        <v>1077</v>
      </c>
      <c r="J356" t="s">
        <v>998</v>
      </c>
      <c r="P356" s="8" t="str">
        <f t="shared" si="6"/>
        <v>"ex:addsToPhase": 
{
"@id": "#"
}</v>
      </c>
    </row>
    <row r="357" spans="1:16" hidden="1" x14ac:dyDescent="0.25">
      <c r="A357" s="8"/>
      <c r="C357" t="s">
        <v>1054</v>
      </c>
      <c r="E357" t="s">
        <v>1031</v>
      </c>
      <c r="H357" t="s">
        <v>1077</v>
      </c>
      <c r="P357" s="8" t="str">
        <f t="shared" si="6"/>
        <v>"ex:removesFromPhase": 
{
"@id": "#"
}</v>
      </c>
    </row>
    <row r="358" spans="1:16" s="7" customFormat="1" hidden="1" x14ac:dyDescent="0.25">
      <c r="C358" s="7" t="s">
        <v>1033</v>
      </c>
      <c r="E358" s="7" t="s">
        <v>1034</v>
      </c>
      <c r="P358" s="8" t="str">
        <f t="shared" si="6"/>
        <v>"ex:hasFollowingStream": "",</v>
      </c>
    </row>
    <row r="359" spans="1:16" hidden="1" x14ac:dyDescent="0.25">
      <c r="A359" s="8"/>
      <c r="C359" t="s">
        <v>626</v>
      </c>
      <c r="H359" t="s">
        <v>1077</v>
      </c>
      <c r="P359" s="8" t="str">
        <f t="shared" si="6"/>
        <v>"ex:isInstanceOf": 
{
"@id": "#"
}</v>
      </c>
    </row>
    <row r="360" spans="1:16" hidden="1" x14ac:dyDescent="0.25">
      <c r="A360" s="8"/>
      <c r="P360" s="8" t="str">
        <f t="shared" si="6"/>
        <v/>
      </c>
    </row>
    <row r="361" spans="1:16" s="10" customFormat="1" x14ac:dyDescent="0.25">
      <c r="A361" s="20"/>
      <c r="P361" s="20" t="str">
        <f t="shared" si="6"/>
        <v/>
      </c>
    </row>
    <row r="362" spans="1:16" x14ac:dyDescent="0.25">
      <c r="A362" s="33" t="s">
        <v>1221</v>
      </c>
      <c r="C362" t="s">
        <v>498</v>
      </c>
      <c r="D362" t="s">
        <v>497</v>
      </c>
      <c r="G362" t="s">
        <v>1270</v>
      </c>
      <c r="H362" t="s">
        <v>629</v>
      </c>
      <c r="K362" t="s">
        <v>1091</v>
      </c>
      <c r="P362" s="8" t="str">
        <f t="shared" si="6"/>
        <v>"@id": "",</v>
      </c>
    </row>
    <row r="363" spans="1:16" x14ac:dyDescent="0.25">
      <c r="A363" s="8"/>
      <c r="C363" t="s">
        <v>225</v>
      </c>
      <c r="D363" t="s">
        <v>497</v>
      </c>
      <c r="G363" t="s">
        <v>1270</v>
      </c>
      <c r="H363" t="s">
        <v>1276</v>
      </c>
      <c r="K363" t="s">
        <v>1091</v>
      </c>
      <c r="L363" t="s">
        <v>955</v>
      </c>
      <c r="M363" t="s">
        <v>844</v>
      </c>
      <c r="P363" s="8" t="str">
        <f t="shared" si="6"/>
        <v>"@type": "ex:Stream",</v>
      </c>
    </row>
    <row r="364" spans="1:16" x14ac:dyDescent="0.25">
      <c r="A364" s="8"/>
      <c r="C364" t="s">
        <v>223</v>
      </c>
      <c r="D364" t="s">
        <v>492</v>
      </c>
      <c r="G364" t="s">
        <v>1270</v>
      </c>
      <c r="H364" t="s">
        <v>629</v>
      </c>
      <c r="K364" t="s">
        <v>1091</v>
      </c>
      <c r="P364" s="8" t="str">
        <f t="shared" si="6"/>
        <v>"schema:name": "",</v>
      </c>
    </row>
    <row r="365" spans="1:16" x14ac:dyDescent="0.25">
      <c r="A365" s="8"/>
      <c r="C365" t="s">
        <v>264</v>
      </c>
      <c r="D365" t="s">
        <v>492</v>
      </c>
      <c r="G365" t="s">
        <v>1270</v>
      </c>
      <c r="H365" t="s">
        <v>629</v>
      </c>
      <c r="K365" t="s">
        <v>1092</v>
      </c>
      <c r="P365" s="8" t="str">
        <f t="shared" si="6"/>
        <v>"schema:description": "",</v>
      </c>
    </row>
    <row r="366" spans="1:16" x14ac:dyDescent="0.25">
      <c r="A366" s="8"/>
      <c r="C366" t="s">
        <v>1226</v>
      </c>
      <c r="E366" t="s">
        <v>1245</v>
      </c>
      <c r="H366" t="s">
        <v>229</v>
      </c>
      <c r="I366" t="s">
        <v>2</v>
      </c>
      <c r="P366" s="8" t="str">
        <f t="shared" si="6"/>
        <v>"ex:hasPhase": 
[
{
"@id": "#"
},
{
"@id": "#"
}
],</v>
      </c>
    </row>
    <row r="367" spans="1:16" x14ac:dyDescent="0.25">
      <c r="A367" s="8"/>
      <c r="C367" t="s">
        <v>1518</v>
      </c>
      <c r="E367" t="s">
        <v>1230</v>
      </c>
      <c r="F367" t="s">
        <v>1519</v>
      </c>
      <c r="H367" t="s">
        <v>1098</v>
      </c>
      <c r="I367" t="s">
        <v>1232</v>
      </c>
      <c r="P367" s="8" t="str">
        <f t="shared" si="6"/>
        <v>"ex:flowsFrom": 
{
"@id": "#"
}</v>
      </c>
    </row>
    <row r="368" spans="1:16" x14ac:dyDescent="0.25">
      <c r="A368" s="8"/>
      <c r="C368" t="s">
        <v>1520</v>
      </c>
      <c r="E368" t="s">
        <v>1231</v>
      </c>
      <c r="F368" t="s">
        <v>1521</v>
      </c>
      <c r="H368" t="s">
        <v>1077</v>
      </c>
      <c r="I368" t="s">
        <v>1232</v>
      </c>
      <c r="P368" s="8" t="str">
        <f t="shared" si="6"/>
        <v>"ex:flowsTo": 
{
"@id": "#"
}</v>
      </c>
    </row>
    <row r="369" spans="1:16" x14ac:dyDescent="0.25">
      <c r="A369" s="8"/>
      <c r="C369" t="s">
        <v>1029</v>
      </c>
      <c r="H369" t="s">
        <v>1077</v>
      </c>
      <c r="I369" t="s">
        <v>2</v>
      </c>
      <c r="P369" s="8" t="str">
        <f t="shared" si="6"/>
        <v>"ex:addsToPhase": 
{
"@id": "#"
}</v>
      </c>
    </row>
    <row r="370" spans="1:16" x14ac:dyDescent="0.25">
      <c r="A370" s="8"/>
      <c r="C370" t="s">
        <v>1054</v>
      </c>
      <c r="H370" t="s">
        <v>1077</v>
      </c>
      <c r="I370" t="s">
        <v>2</v>
      </c>
      <c r="P370" s="8" t="str">
        <f t="shared" si="6"/>
        <v>"ex:removesFromPhase": 
{
"@id": "#"
}</v>
      </c>
    </row>
    <row r="371" spans="1:16" x14ac:dyDescent="0.25">
      <c r="A371" s="8"/>
      <c r="C371" t="s">
        <v>1515</v>
      </c>
      <c r="E371" t="s">
        <v>1244</v>
      </c>
      <c r="H371" t="s">
        <v>229</v>
      </c>
      <c r="I371" t="s">
        <v>1524</v>
      </c>
      <c r="P371" s="8" t="str">
        <f t="shared" si="6"/>
        <v>"ex:describedBy": 
[
{
"@id": "#"
},
{
"@id": "#"
}
],</v>
      </c>
    </row>
    <row r="372" spans="1:16" x14ac:dyDescent="0.25">
      <c r="A372" s="8"/>
      <c r="C372" t="s">
        <v>626</v>
      </c>
      <c r="G372" t="s">
        <v>1109</v>
      </c>
      <c r="H372" t="s">
        <v>1077</v>
      </c>
      <c r="I372" t="s">
        <v>955</v>
      </c>
      <c r="P372" s="8" t="str">
        <f t="shared" si="6"/>
        <v>"ex:isInstanceOf": 
{
"@id": "#"
}</v>
      </c>
    </row>
    <row r="373" spans="1:16" x14ac:dyDescent="0.25">
      <c r="A373" s="8"/>
      <c r="C373" t="s">
        <v>876</v>
      </c>
      <c r="G373" t="s">
        <v>1108</v>
      </c>
      <c r="H373" t="s">
        <v>1077</v>
      </c>
      <c r="I373" t="s">
        <v>955</v>
      </c>
      <c r="P373" s="8" t="str">
        <f t="shared" si="6"/>
        <v>"ex:hasInstance": 
{
"@id": "#"
}</v>
      </c>
    </row>
    <row r="374" spans="1:16" s="7" customFormat="1" x14ac:dyDescent="0.25">
      <c r="C374" s="7" t="s">
        <v>1261</v>
      </c>
      <c r="E374" s="7" t="s">
        <v>1522</v>
      </c>
      <c r="F374" s="7" t="s">
        <v>1523</v>
      </c>
      <c r="H374" s="7" t="s">
        <v>1276</v>
      </c>
      <c r="P374" s="7" t="str">
        <f t="shared" si="6"/>
        <v>"ex:flowMode": "",</v>
      </c>
    </row>
    <row r="375" spans="1:16" x14ac:dyDescent="0.25">
      <c r="A375" s="8"/>
      <c r="P375" s="8" t="str">
        <f t="shared" si="6"/>
        <v/>
      </c>
    </row>
    <row r="376" spans="1:16" s="29" customFormat="1" hidden="1" x14ac:dyDescent="0.25">
      <c r="P376" s="8" t="str">
        <f t="shared" si="6"/>
        <v/>
      </c>
    </row>
    <row r="377" spans="1:16" hidden="1" x14ac:dyDescent="0.25">
      <c r="A377" s="8" t="s">
        <v>992</v>
      </c>
      <c r="B377" t="s">
        <v>958</v>
      </c>
      <c r="C377" t="s">
        <v>498</v>
      </c>
      <c r="D377" t="s">
        <v>497</v>
      </c>
      <c r="J377" t="s">
        <v>993</v>
      </c>
      <c r="P377" s="8" t="str">
        <f t="shared" si="6"/>
        <v>"@id": "",</v>
      </c>
    </row>
    <row r="378" spans="1:16" hidden="1" x14ac:dyDescent="0.25">
      <c r="A378" s="8"/>
      <c r="C378" t="s">
        <v>225</v>
      </c>
      <c r="D378" t="s">
        <v>497</v>
      </c>
      <c r="P378" s="8" t="str">
        <f t="shared" si="6"/>
        <v>"@type": "",</v>
      </c>
    </row>
    <row r="379" spans="1:16" hidden="1" x14ac:dyDescent="0.25">
      <c r="A379" s="8"/>
      <c r="C379" t="s">
        <v>223</v>
      </c>
      <c r="D379" t="s">
        <v>492</v>
      </c>
      <c r="P379" s="8" t="str">
        <f t="shared" si="6"/>
        <v>"schema:name": "",</v>
      </c>
    </row>
    <row r="380" spans="1:16" hidden="1" x14ac:dyDescent="0.25">
      <c r="A380" s="8"/>
      <c r="C380" t="s">
        <v>264</v>
      </c>
      <c r="D380" t="s">
        <v>492</v>
      </c>
      <c r="P380" s="8" t="str">
        <f t="shared" si="6"/>
        <v>"schema:description": "",</v>
      </c>
    </row>
    <row r="381" spans="1:16" hidden="1" x14ac:dyDescent="0.25">
      <c r="A381" s="8"/>
      <c r="C381" t="s">
        <v>995</v>
      </c>
      <c r="H381" t="s">
        <v>1077</v>
      </c>
      <c r="I381" t="s">
        <v>1046</v>
      </c>
      <c r="J381" t="s">
        <v>998</v>
      </c>
      <c r="P381" s="8" t="str">
        <f t="shared" si="6"/>
        <v>"ex:hasLiquidPhase": 
{
"@id": "#"
}</v>
      </c>
    </row>
    <row r="382" spans="1:16" hidden="1" x14ac:dyDescent="0.25">
      <c r="A382" s="8"/>
      <c r="C382" t="s">
        <v>996</v>
      </c>
      <c r="H382" t="s">
        <v>1077</v>
      </c>
      <c r="I382" t="s">
        <v>1046</v>
      </c>
      <c r="J382" t="s">
        <v>999</v>
      </c>
      <c r="P382" s="8" t="str">
        <f t="shared" si="6"/>
        <v>"ex:hasSolidPhase": 
{
"@id": "#"
}</v>
      </c>
    </row>
    <row r="383" spans="1:16" hidden="1" x14ac:dyDescent="0.25">
      <c r="A383" s="8"/>
      <c r="C383" t="s">
        <v>997</v>
      </c>
      <c r="H383" t="s">
        <v>1077</v>
      </c>
      <c r="I383" t="s">
        <v>1046</v>
      </c>
      <c r="J383" t="s">
        <v>1000</v>
      </c>
      <c r="P383" s="8" t="str">
        <f t="shared" si="6"/>
        <v>"ex:hasGasPhase": 
{
"@id": "#"
}</v>
      </c>
    </row>
    <row r="384" spans="1:16" hidden="1" x14ac:dyDescent="0.25">
      <c r="A384" s="8"/>
      <c r="C384" t="s">
        <v>1001</v>
      </c>
      <c r="H384" t="s">
        <v>1077</v>
      </c>
      <c r="I384" t="s">
        <v>1062</v>
      </c>
      <c r="J384" t="s">
        <v>798</v>
      </c>
      <c r="P384" s="8" t="str">
        <f t="shared" si="6"/>
        <v>"ex:isLocatedIn": 
{
"@id": "#"
}</v>
      </c>
    </row>
    <row r="385" spans="1:16" hidden="1" x14ac:dyDescent="0.25">
      <c r="A385" s="8"/>
      <c r="C385" t="s">
        <v>839</v>
      </c>
      <c r="H385" t="s">
        <v>229</v>
      </c>
      <c r="I385" t="s">
        <v>1094</v>
      </c>
      <c r="P385" s="8" t="str">
        <f t="shared" si="6"/>
        <v>"ex:hasInstances": 
[
{
"@id": "#"
},
{
"@id": "#"
}
],</v>
      </c>
    </row>
    <row r="386" spans="1:16" hidden="1" x14ac:dyDescent="0.25">
      <c r="A386" s="8"/>
      <c r="C386" t="s">
        <v>1113</v>
      </c>
      <c r="P386" s="8" t="str">
        <f t="shared" si="6"/>
        <v>"ex:hasSetpointProfiles": "",</v>
      </c>
    </row>
    <row r="387" spans="1:16" hidden="1" x14ac:dyDescent="0.25">
      <c r="A387" s="8"/>
      <c r="C387" t="s">
        <v>1114</v>
      </c>
      <c r="E387" t="s">
        <v>1115</v>
      </c>
      <c r="P387" s="8" t="str">
        <f t="shared" si="6"/>
        <v>"ex:hasProcessVariables": "",</v>
      </c>
    </row>
    <row r="388" spans="1:16" hidden="1" x14ac:dyDescent="0.25">
      <c r="A388" s="8"/>
      <c r="P388" s="8" t="str">
        <f t="shared" si="6"/>
        <v/>
      </c>
    </row>
    <row r="389" spans="1:16" hidden="1" x14ac:dyDescent="0.25">
      <c r="A389" s="8"/>
      <c r="P389" s="8" t="str">
        <f t="shared" si="6"/>
        <v/>
      </c>
    </row>
    <row r="390" spans="1:16" hidden="1" x14ac:dyDescent="0.25">
      <c r="A390" s="8"/>
      <c r="P390" s="8" t="str">
        <f t="shared" si="6"/>
        <v/>
      </c>
    </row>
    <row r="391" spans="1:16" hidden="1" x14ac:dyDescent="0.25">
      <c r="A391" s="8"/>
      <c r="P391" s="8" t="str">
        <f t="shared" si="6"/>
        <v/>
      </c>
    </row>
    <row r="392" spans="1:16" hidden="1" x14ac:dyDescent="0.25">
      <c r="A392" s="8"/>
      <c r="P392" s="8" t="str">
        <f t="shared" si="6"/>
        <v/>
      </c>
    </row>
    <row r="393" spans="1:16" hidden="1" x14ac:dyDescent="0.25">
      <c r="A393" s="8"/>
      <c r="P393" s="8" t="str">
        <f t="shared" si="6"/>
        <v/>
      </c>
    </row>
    <row r="394" spans="1:16" hidden="1" x14ac:dyDescent="0.25">
      <c r="A394" s="8" t="s">
        <v>1061</v>
      </c>
      <c r="C394" t="s">
        <v>498</v>
      </c>
      <c r="D394" t="s">
        <v>497</v>
      </c>
      <c r="F394" t="s">
        <v>1096</v>
      </c>
      <c r="J394" t="s">
        <v>1068</v>
      </c>
      <c r="P394" s="8" t="str">
        <f t="shared" si="6"/>
        <v>"@id": "",</v>
      </c>
    </row>
    <row r="395" spans="1:16" hidden="1" x14ac:dyDescent="0.25">
      <c r="A395" s="8"/>
      <c r="C395" t="s">
        <v>225</v>
      </c>
      <c r="D395" t="s">
        <v>497</v>
      </c>
      <c r="P395" s="8" t="str">
        <f t="shared" si="6"/>
        <v>"@type": "",</v>
      </c>
    </row>
    <row r="396" spans="1:16" hidden="1" x14ac:dyDescent="0.25">
      <c r="A396" s="8"/>
      <c r="C396" t="s">
        <v>223</v>
      </c>
      <c r="D396" t="s">
        <v>492</v>
      </c>
      <c r="P396" s="8" t="str">
        <f t="shared" si="6"/>
        <v>"schema:name": "",</v>
      </c>
    </row>
    <row r="397" spans="1:16" hidden="1" x14ac:dyDescent="0.25">
      <c r="A397" s="8"/>
      <c r="C397" t="s">
        <v>264</v>
      </c>
      <c r="D397" t="s">
        <v>492</v>
      </c>
      <c r="P397" s="8" t="str">
        <f t="shared" si="6"/>
        <v>"schema:description": "",</v>
      </c>
    </row>
    <row r="398" spans="1:16" hidden="1" x14ac:dyDescent="0.25">
      <c r="A398" s="8"/>
      <c r="C398" t="s">
        <v>995</v>
      </c>
      <c r="H398" t="s">
        <v>1077</v>
      </c>
      <c r="I398" t="s">
        <v>1048</v>
      </c>
      <c r="J398" t="s">
        <v>1064</v>
      </c>
      <c r="P398" s="8" t="str">
        <f t="shared" si="6"/>
        <v>"ex:hasLiquidPhase": 
{
"@id": "#"
}</v>
      </c>
    </row>
    <row r="399" spans="1:16" hidden="1" x14ac:dyDescent="0.25">
      <c r="A399" s="8"/>
      <c r="C399" t="s">
        <v>996</v>
      </c>
      <c r="H399" t="s">
        <v>1077</v>
      </c>
      <c r="I399" t="s">
        <v>1048</v>
      </c>
      <c r="J399" t="s">
        <v>1065</v>
      </c>
      <c r="P399" s="8" t="str">
        <f t="shared" si="6"/>
        <v>"ex:hasSolidPhase": 
{
"@id": "#"
}</v>
      </c>
    </row>
    <row r="400" spans="1:16" hidden="1" x14ac:dyDescent="0.25">
      <c r="A400" s="8"/>
      <c r="C400" t="s">
        <v>997</v>
      </c>
      <c r="H400" t="s">
        <v>1077</v>
      </c>
      <c r="I400" t="s">
        <v>1048</v>
      </c>
      <c r="J400" t="s">
        <v>1066</v>
      </c>
      <c r="P400" s="8" t="str">
        <f t="shared" si="6"/>
        <v>"ex:hasGasPhase": 
{
"@id": "#"
}</v>
      </c>
    </row>
    <row r="401" spans="1:16" hidden="1" x14ac:dyDescent="0.25">
      <c r="A401" s="8"/>
      <c r="C401" t="s">
        <v>1001</v>
      </c>
      <c r="H401" t="s">
        <v>1077</v>
      </c>
      <c r="I401" t="s">
        <v>1063</v>
      </c>
      <c r="J401" t="s">
        <v>1067</v>
      </c>
      <c r="P401" s="8" t="str">
        <f t="shared" si="6"/>
        <v>"ex:isLocatedIn": 
{
"@id": "#"
}</v>
      </c>
    </row>
    <row r="402" spans="1:16" hidden="1" x14ac:dyDescent="0.25">
      <c r="A402" s="8"/>
      <c r="C402" t="s">
        <v>626</v>
      </c>
      <c r="H402" t="s">
        <v>1077</v>
      </c>
      <c r="I402" t="s">
        <v>1095</v>
      </c>
      <c r="P402" s="8"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8"/>
      <c r="P403" s="8" t="str">
        <f t="shared" si="7"/>
        <v/>
      </c>
    </row>
    <row r="404" spans="1:16" s="10" customFormat="1" x14ac:dyDescent="0.25">
      <c r="A404" s="20"/>
      <c r="P404" s="20" t="str">
        <f t="shared" si="7"/>
        <v/>
      </c>
    </row>
    <row r="405" spans="1:16" x14ac:dyDescent="0.25">
      <c r="A405" s="33" t="s">
        <v>1225</v>
      </c>
      <c r="C405" t="s">
        <v>498</v>
      </c>
      <c r="D405" t="s">
        <v>497</v>
      </c>
      <c r="G405" t="s">
        <v>1270</v>
      </c>
      <c r="H405" t="s">
        <v>629</v>
      </c>
      <c r="K405" t="s">
        <v>1091</v>
      </c>
      <c r="P405" s="8" t="str">
        <f t="shared" si="7"/>
        <v>"@id": "",</v>
      </c>
    </row>
    <row r="406" spans="1:16" x14ac:dyDescent="0.25">
      <c r="A406" s="8"/>
      <c r="C406" t="s">
        <v>225</v>
      </c>
      <c r="D406" t="s">
        <v>497</v>
      </c>
      <c r="G406" t="s">
        <v>1270</v>
      </c>
      <c r="H406" t="s">
        <v>1276</v>
      </c>
      <c r="K406" t="s">
        <v>1091</v>
      </c>
      <c r="L406" t="s">
        <v>992</v>
      </c>
      <c r="M406" t="s">
        <v>844</v>
      </c>
      <c r="P406" s="8" t="str">
        <f t="shared" si="7"/>
        <v>"@type": "ex:MaterialVolume",</v>
      </c>
    </row>
    <row r="407" spans="1:16" x14ac:dyDescent="0.25">
      <c r="A407" s="8"/>
      <c r="C407" t="s">
        <v>223</v>
      </c>
      <c r="D407" t="s">
        <v>492</v>
      </c>
      <c r="G407" t="s">
        <v>1270</v>
      </c>
      <c r="H407" t="s">
        <v>629</v>
      </c>
      <c r="K407" t="s">
        <v>1091</v>
      </c>
      <c r="P407" s="8" t="str">
        <f t="shared" si="7"/>
        <v>"schema:name": "",</v>
      </c>
    </row>
    <row r="408" spans="1:16" x14ac:dyDescent="0.25">
      <c r="A408" s="8"/>
      <c r="C408" t="s">
        <v>264</v>
      </c>
      <c r="D408" t="s">
        <v>492</v>
      </c>
      <c r="G408" t="s">
        <v>1270</v>
      </c>
      <c r="H408" t="s">
        <v>629</v>
      </c>
      <c r="K408" t="s">
        <v>1092</v>
      </c>
      <c r="P408" s="8" t="str">
        <f t="shared" si="7"/>
        <v>"schema:description": "",</v>
      </c>
    </row>
    <row r="409" spans="1:16" x14ac:dyDescent="0.25">
      <c r="A409" s="8"/>
      <c r="C409" t="s">
        <v>1226</v>
      </c>
      <c r="E409" t="s">
        <v>1227</v>
      </c>
      <c r="H409" t="s">
        <v>229</v>
      </c>
      <c r="P409" s="8" t="str">
        <f t="shared" si="7"/>
        <v>"ex:hasPhase": 
[
{
"@id": "#"
},
{
"@id": "#"
}
],</v>
      </c>
    </row>
    <row r="410" spans="1:16" x14ac:dyDescent="0.25">
      <c r="A410" s="8"/>
      <c r="C410" t="s">
        <v>1001</v>
      </c>
      <c r="H410" t="s">
        <v>1077</v>
      </c>
      <c r="P410" s="8" t="str">
        <f t="shared" si="7"/>
        <v>"ex:isLocatedIn": 
{
"@id": "#"
}</v>
      </c>
    </row>
    <row r="411" spans="1:16" x14ac:dyDescent="0.25">
      <c r="A411" s="8"/>
      <c r="C411" t="s">
        <v>1515</v>
      </c>
      <c r="E411" t="s">
        <v>1514</v>
      </c>
      <c r="F411" t="s">
        <v>1517</v>
      </c>
      <c r="H411" t="s">
        <v>1516</v>
      </c>
      <c r="I411" t="s">
        <v>1229</v>
      </c>
      <c r="P411" s="8" t="str">
        <f t="shared" si="7"/>
        <v>"ex:describedBy": 
[
{
"@id": "#"
},
{
"@id": "#"
}
],</v>
      </c>
    </row>
    <row r="412" spans="1:16" x14ac:dyDescent="0.25">
      <c r="A412" s="8"/>
      <c r="C412" t="s">
        <v>626</v>
      </c>
      <c r="G412" t="s">
        <v>1109</v>
      </c>
      <c r="H412" t="s">
        <v>1077</v>
      </c>
      <c r="I412" t="s">
        <v>992</v>
      </c>
      <c r="P412" s="8" t="str">
        <f t="shared" si="7"/>
        <v>"ex:isInstanceOf": 
{
"@id": "#"
}</v>
      </c>
    </row>
    <row r="413" spans="1:16" x14ac:dyDescent="0.25">
      <c r="A413" s="8"/>
      <c r="C413" t="s">
        <v>839</v>
      </c>
      <c r="G413" t="s">
        <v>1108</v>
      </c>
      <c r="H413" t="s">
        <v>229</v>
      </c>
      <c r="I413" t="s">
        <v>992</v>
      </c>
      <c r="P413" s="8" t="str">
        <f t="shared" si="7"/>
        <v>"ex:hasInstances": 
[
{
"@id": "#"
},
{
"@id": "#"
}
],</v>
      </c>
    </row>
    <row r="414" spans="1:16" x14ac:dyDescent="0.25">
      <c r="A414" s="8"/>
      <c r="P414" s="8" t="str">
        <f t="shared" si="7"/>
        <v/>
      </c>
    </row>
    <row r="415" spans="1:16" x14ac:dyDescent="0.25">
      <c r="A415" s="8"/>
      <c r="P415" s="8" t="str">
        <f t="shared" si="7"/>
        <v/>
      </c>
    </row>
    <row r="416" spans="1:16" x14ac:dyDescent="0.25">
      <c r="A416" s="8"/>
      <c r="P416" s="8" t="str">
        <f t="shared" si="7"/>
        <v/>
      </c>
    </row>
    <row r="417" spans="1:16" s="31" customFormat="1" x14ac:dyDescent="0.25">
      <c r="A417" s="31" t="s">
        <v>153</v>
      </c>
      <c r="P417" s="28" t="str">
        <f t="shared" si="7"/>
        <v/>
      </c>
    </row>
    <row r="418" spans="1:16" s="29" customFormat="1" hidden="1" x14ac:dyDescent="0.25">
      <c r="P418" s="29" t="str">
        <f t="shared" si="7"/>
        <v/>
      </c>
    </row>
    <row r="419" spans="1:16" hidden="1" x14ac:dyDescent="0.25">
      <c r="A419" s="8" t="s">
        <v>2</v>
      </c>
      <c r="C419" t="s">
        <v>498</v>
      </c>
      <c r="D419" t="s">
        <v>497</v>
      </c>
      <c r="P419" s="8" t="str">
        <f t="shared" si="7"/>
        <v>"@id": "",</v>
      </c>
    </row>
    <row r="420" spans="1:16" hidden="1" x14ac:dyDescent="0.25">
      <c r="A420" s="8"/>
      <c r="C420" t="s">
        <v>225</v>
      </c>
      <c r="D420" t="s">
        <v>497</v>
      </c>
      <c r="P420" s="8" t="str">
        <f t="shared" si="7"/>
        <v>"@type": "",</v>
      </c>
    </row>
    <row r="421" spans="1:16" hidden="1" x14ac:dyDescent="0.25">
      <c r="A421" s="8"/>
      <c r="C421" t="s">
        <v>223</v>
      </c>
      <c r="D421" t="s">
        <v>492</v>
      </c>
      <c r="P421" s="8" t="str">
        <f t="shared" si="7"/>
        <v>"schema:name": "",</v>
      </c>
    </row>
    <row r="422" spans="1:16" hidden="1" x14ac:dyDescent="0.25">
      <c r="A422" s="8"/>
      <c r="C422" t="s">
        <v>264</v>
      </c>
      <c r="D422" t="s">
        <v>492</v>
      </c>
      <c r="P422" s="8" t="str">
        <f t="shared" si="7"/>
        <v>"schema:description": "",</v>
      </c>
    </row>
    <row r="423" spans="1:16" hidden="1" x14ac:dyDescent="0.25">
      <c r="A423" s="8"/>
      <c r="C423" t="s">
        <v>334</v>
      </c>
      <c r="P423" s="8" t="str">
        <f t="shared" si="7"/>
        <v>"ex:hasContext": "",</v>
      </c>
    </row>
    <row r="424" spans="1:16" hidden="1" x14ac:dyDescent="0.25">
      <c r="A424" s="8"/>
      <c r="C424" t="s">
        <v>935</v>
      </c>
      <c r="E424" t="s">
        <v>1006</v>
      </c>
      <c r="F424" t="s">
        <v>1101</v>
      </c>
      <c r="H424" t="s">
        <v>629</v>
      </c>
      <c r="P424" s="8" t="str">
        <f t="shared" si="7"/>
        <v>"ex:hasAggregateState": "",</v>
      </c>
    </row>
    <row r="425" spans="1:16" hidden="1" x14ac:dyDescent="0.25">
      <c r="A425" s="8"/>
      <c r="C425" t="s">
        <v>994</v>
      </c>
      <c r="H425" t="s">
        <v>368</v>
      </c>
      <c r="I425" t="s">
        <v>1100</v>
      </c>
      <c r="J425" t="s">
        <v>984</v>
      </c>
      <c r="P425" s="8" t="str">
        <f t="shared" si="7"/>
        <v>"ex:hasPhaseComponents": 
[
{
"@id": "#"
},
{
"@id": "#"
}
],</v>
      </c>
    </row>
    <row r="426" spans="1:16" hidden="1" x14ac:dyDescent="0.25">
      <c r="A426" s="8"/>
      <c r="C426" s="8" t="s">
        <v>1056</v>
      </c>
      <c r="H426" t="s">
        <v>1098</v>
      </c>
      <c r="I426" t="s">
        <v>1102</v>
      </c>
      <c r="P426" s="8" t="str">
        <f t="shared" si="7"/>
        <v>"ex:hasTemperature": 
{
"@id": "#"
}</v>
      </c>
    </row>
    <row r="427" spans="1:16" hidden="1" x14ac:dyDescent="0.25">
      <c r="A427" s="8"/>
      <c r="C427" s="8" t="s">
        <v>1057</v>
      </c>
      <c r="H427" t="s">
        <v>1077</v>
      </c>
      <c r="I427" t="s">
        <v>1103</v>
      </c>
      <c r="P427" s="8" t="str">
        <f t="shared" si="7"/>
        <v>"ex:hasComposition": 
{
"@id": "#"
}</v>
      </c>
    </row>
    <row r="428" spans="1:16" hidden="1" x14ac:dyDescent="0.25">
      <c r="A428" s="8"/>
      <c r="C428" s="8" t="s">
        <v>863</v>
      </c>
      <c r="E428" t="s">
        <v>1058</v>
      </c>
      <c r="H428" t="s">
        <v>1077</v>
      </c>
      <c r="I428" t="s">
        <v>1104</v>
      </c>
      <c r="P428" s="8" t="str">
        <f t="shared" si="7"/>
        <v>"ex:isPartIn": 
{
"@id": "#"
}</v>
      </c>
    </row>
    <row r="429" spans="1:16" hidden="1" x14ac:dyDescent="0.25">
      <c r="A429" s="8"/>
      <c r="C429" s="8" t="s">
        <v>876</v>
      </c>
      <c r="H429" t="s">
        <v>229</v>
      </c>
      <c r="I429" t="s">
        <v>1105</v>
      </c>
      <c r="P429" s="8" t="str">
        <f t="shared" si="7"/>
        <v>"ex:hasInstance": 
[
{
"@id": "#"
},
{
"@id": "#"
}
],</v>
      </c>
    </row>
    <row r="430" spans="1:16" hidden="1" x14ac:dyDescent="0.25">
      <c r="A430" s="8"/>
      <c r="C430" s="8"/>
      <c r="P430" s="8" t="str">
        <f t="shared" si="7"/>
        <v/>
      </c>
    </row>
    <row r="431" spans="1:16" hidden="1" x14ac:dyDescent="0.25">
      <c r="A431" s="8"/>
      <c r="C431" s="8"/>
      <c r="P431" s="8" t="str">
        <f t="shared" si="7"/>
        <v/>
      </c>
    </row>
    <row r="432" spans="1:16" hidden="1" x14ac:dyDescent="0.25">
      <c r="A432" s="8" t="s">
        <v>1059</v>
      </c>
      <c r="C432" t="s">
        <v>498</v>
      </c>
      <c r="D432" t="s">
        <v>497</v>
      </c>
      <c r="H432" t="s">
        <v>629</v>
      </c>
      <c r="P432" s="8" t="str">
        <f t="shared" si="7"/>
        <v>"@id": "",</v>
      </c>
    </row>
    <row r="433" spans="1:16" hidden="1" x14ac:dyDescent="0.25">
      <c r="A433" s="8"/>
      <c r="C433" t="s">
        <v>225</v>
      </c>
      <c r="D433" t="s">
        <v>497</v>
      </c>
      <c r="H433" t="s">
        <v>629</v>
      </c>
      <c r="P433" s="8" t="str">
        <f t="shared" si="7"/>
        <v>"@type": "",</v>
      </c>
    </row>
    <row r="434" spans="1:16" hidden="1" x14ac:dyDescent="0.25">
      <c r="A434" s="8"/>
      <c r="C434" t="s">
        <v>223</v>
      </c>
      <c r="D434" t="s">
        <v>492</v>
      </c>
      <c r="H434" t="s">
        <v>629</v>
      </c>
      <c r="P434" s="8" t="str">
        <f t="shared" si="7"/>
        <v>"schema:name": "",</v>
      </c>
    </row>
    <row r="435" spans="1:16" hidden="1" x14ac:dyDescent="0.25">
      <c r="A435" s="8"/>
      <c r="C435" t="s">
        <v>264</v>
      </c>
      <c r="D435" t="s">
        <v>492</v>
      </c>
      <c r="H435" t="s">
        <v>629</v>
      </c>
      <c r="P435" s="8" t="str">
        <f t="shared" si="7"/>
        <v>"schema:description": "",</v>
      </c>
    </row>
    <row r="436" spans="1:16" hidden="1" x14ac:dyDescent="0.25">
      <c r="A436" s="8"/>
      <c r="C436" t="s">
        <v>334</v>
      </c>
      <c r="H436" t="s">
        <v>229</v>
      </c>
      <c r="I436" t="s">
        <v>1106</v>
      </c>
      <c r="P436" s="8" t="str">
        <f t="shared" si="7"/>
        <v>"ex:hasContext": 
[
{
"@id": "#"
},
{
"@id": "#"
}
],</v>
      </c>
    </row>
    <row r="437" spans="1:16" hidden="1" x14ac:dyDescent="0.25">
      <c r="A437" s="8"/>
      <c r="C437" s="7" t="s">
        <v>935</v>
      </c>
      <c r="D437" s="7"/>
      <c r="E437" s="7" t="s">
        <v>1006</v>
      </c>
      <c r="F437" t="s">
        <v>1099</v>
      </c>
      <c r="P437" s="8" t="str">
        <f t="shared" si="7"/>
        <v>"ex:hasAggregateState": "",</v>
      </c>
    </row>
    <row r="438" spans="1:16" hidden="1" x14ac:dyDescent="0.25">
      <c r="A438" s="8"/>
      <c r="C438" t="s">
        <v>994</v>
      </c>
      <c r="P438" s="8" t="str">
        <f t="shared" si="7"/>
        <v>"ex:hasPhaseComponents": "",</v>
      </c>
    </row>
    <row r="439" spans="1:16" hidden="1" x14ac:dyDescent="0.25">
      <c r="A439" s="8"/>
      <c r="C439" s="8" t="s">
        <v>1056</v>
      </c>
      <c r="P439" s="8" t="str">
        <f t="shared" si="7"/>
        <v>"ex:hasTemperature": "",</v>
      </c>
    </row>
    <row r="440" spans="1:16" hidden="1" x14ac:dyDescent="0.25">
      <c r="A440" s="8"/>
      <c r="C440" s="8" t="s">
        <v>1057</v>
      </c>
      <c r="P440" s="8" t="str">
        <f t="shared" si="7"/>
        <v>"ex:hasComposition": "",</v>
      </c>
    </row>
    <row r="441" spans="1:16" hidden="1" x14ac:dyDescent="0.25">
      <c r="A441" s="8"/>
      <c r="C441" s="8" t="s">
        <v>863</v>
      </c>
      <c r="E441" t="s">
        <v>1058</v>
      </c>
      <c r="P441" s="8" t="str">
        <f t="shared" si="7"/>
        <v>"ex:isPartIn": "",</v>
      </c>
    </row>
    <row r="442" spans="1:16" hidden="1" x14ac:dyDescent="0.25">
      <c r="A442" s="8"/>
      <c r="C442" s="8" t="s">
        <v>626</v>
      </c>
      <c r="P442" s="8" t="str">
        <f t="shared" si="7"/>
        <v>"ex:isInstanceOf": "",</v>
      </c>
    </row>
    <row r="443" spans="1:16" hidden="1" x14ac:dyDescent="0.25">
      <c r="A443" s="8"/>
      <c r="C443" s="8"/>
      <c r="P443" s="8" t="str">
        <f t="shared" si="7"/>
        <v/>
      </c>
    </row>
    <row r="444" spans="1:16" hidden="1" x14ac:dyDescent="0.25">
      <c r="A444" s="8"/>
      <c r="C444" s="8"/>
      <c r="P444" s="8" t="str">
        <f t="shared" si="7"/>
        <v/>
      </c>
    </row>
    <row r="445" spans="1:16" s="10" customFormat="1" x14ac:dyDescent="0.25">
      <c r="A445" s="20"/>
      <c r="C445" s="20"/>
      <c r="P445" s="20" t="str">
        <f t="shared" si="7"/>
        <v/>
      </c>
    </row>
    <row r="446" spans="1:16" x14ac:dyDescent="0.25">
      <c r="A446" s="33" t="s">
        <v>1240</v>
      </c>
      <c r="C446" t="s">
        <v>498</v>
      </c>
      <c r="D446" t="s">
        <v>497</v>
      </c>
      <c r="G446" t="s">
        <v>1270</v>
      </c>
      <c r="H446" t="s">
        <v>629</v>
      </c>
      <c r="K446" t="s">
        <v>1091</v>
      </c>
      <c r="P446" s="8" t="str">
        <f t="shared" si="7"/>
        <v>"@id": "",</v>
      </c>
    </row>
    <row r="447" spans="1:16" x14ac:dyDescent="0.25">
      <c r="A447" s="8" t="s">
        <v>1528</v>
      </c>
      <c r="C447" t="s">
        <v>225</v>
      </c>
      <c r="D447" t="s">
        <v>497</v>
      </c>
      <c r="G447" t="s">
        <v>1270</v>
      </c>
      <c r="H447" t="s">
        <v>629</v>
      </c>
      <c r="K447" t="s">
        <v>1091</v>
      </c>
      <c r="P447" s="8" t="str">
        <f t="shared" si="7"/>
        <v>"@type": "",</v>
      </c>
    </row>
    <row r="448" spans="1:16" x14ac:dyDescent="0.25">
      <c r="A448" s="8"/>
      <c r="C448" t="s">
        <v>223</v>
      </c>
      <c r="D448" t="s">
        <v>492</v>
      </c>
      <c r="G448" t="s">
        <v>1270</v>
      </c>
      <c r="H448" t="s">
        <v>629</v>
      </c>
      <c r="K448" t="s">
        <v>1091</v>
      </c>
      <c r="P448" s="8" t="str">
        <f t="shared" si="7"/>
        <v>"schema:name": "",</v>
      </c>
    </row>
    <row r="449" spans="1:16" x14ac:dyDescent="0.25">
      <c r="A449" s="8"/>
      <c r="C449" t="s">
        <v>264</v>
      </c>
      <c r="D449" t="s">
        <v>492</v>
      </c>
      <c r="G449" t="s">
        <v>1270</v>
      </c>
      <c r="H449" t="s">
        <v>629</v>
      </c>
      <c r="K449" t="s">
        <v>1092</v>
      </c>
      <c r="P449" s="8" t="str">
        <f t="shared" si="7"/>
        <v>"schema:description": "",</v>
      </c>
    </row>
    <row r="450" spans="1:16" x14ac:dyDescent="0.25">
      <c r="A450" s="8"/>
      <c r="C450" t="s">
        <v>334</v>
      </c>
      <c r="H450" t="s">
        <v>229</v>
      </c>
      <c r="I450" t="s">
        <v>1107</v>
      </c>
      <c r="P450" s="8" t="str">
        <f t="shared" si="7"/>
        <v>"ex:hasContext": 
[
{
"@id": "#"
},
{
"@id": "#"
}
],</v>
      </c>
    </row>
    <row r="451" spans="1:16" x14ac:dyDescent="0.25">
      <c r="A451" s="8"/>
      <c r="C451" t="s">
        <v>935</v>
      </c>
      <c r="E451" t="s">
        <v>1006</v>
      </c>
      <c r="F451" t="s">
        <v>1526</v>
      </c>
      <c r="H451" t="s">
        <v>629</v>
      </c>
      <c r="J451" t="s">
        <v>157</v>
      </c>
      <c r="P451" s="8" t="str">
        <f t="shared" si="7"/>
        <v>"ex:hasAggregateState": "",</v>
      </c>
    </row>
    <row r="452" spans="1:16" x14ac:dyDescent="0.25">
      <c r="A452" s="8"/>
      <c r="C452" t="s">
        <v>994</v>
      </c>
      <c r="E452" t="s">
        <v>1527</v>
      </c>
      <c r="F452" t="s">
        <v>1525</v>
      </c>
      <c r="H452" t="s">
        <v>229</v>
      </c>
      <c r="I452" t="s">
        <v>69</v>
      </c>
      <c r="P452" s="8" t="str">
        <f t="shared" si="7"/>
        <v>"ex:hasPhaseComponents": 
[
{
"@id": "#"
},
{
"@id": "#"
}
],</v>
      </c>
    </row>
    <row r="453" spans="1:16" x14ac:dyDescent="0.25">
      <c r="A453" s="8"/>
      <c r="C453" s="8" t="s">
        <v>863</v>
      </c>
      <c r="E453" t="s">
        <v>1058</v>
      </c>
      <c r="G453" t="s">
        <v>1108</v>
      </c>
      <c r="H453" t="s">
        <v>229</v>
      </c>
      <c r="I453" t="s">
        <v>1241</v>
      </c>
      <c r="P453" s="8" t="str">
        <f t="shared" si="7"/>
        <v>"ex:isPartIn": 
[
{
"@id": "#"
},
{
"@id": "#"
}
],</v>
      </c>
    </row>
    <row r="454" spans="1:16" x14ac:dyDescent="0.25">
      <c r="A454" s="8"/>
      <c r="C454" s="8" t="s">
        <v>1515</v>
      </c>
      <c r="E454" t="s">
        <v>1529</v>
      </c>
      <c r="G454" t="s">
        <v>1108</v>
      </c>
      <c r="H454" t="s">
        <v>229</v>
      </c>
      <c r="P454" s="8" t="str">
        <f t="shared" si="7"/>
        <v>"ex:describedBy": 
[
{
"@id": "#"
},
{
"@id": "#"
}
],</v>
      </c>
    </row>
    <row r="455" spans="1:16" x14ac:dyDescent="0.25">
      <c r="A455" s="8"/>
      <c r="C455" s="8" t="s">
        <v>839</v>
      </c>
      <c r="G455" t="s">
        <v>1108</v>
      </c>
      <c r="H455" t="s">
        <v>229</v>
      </c>
      <c r="I455" t="s">
        <v>2</v>
      </c>
      <c r="P455" s="8" t="str">
        <f t="shared" si="7"/>
        <v>"ex:hasInstances": 
[
{
"@id": "#"
},
{
"@id": "#"
}
],</v>
      </c>
    </row>
    <row r="456" spans="1:16" x14ac:dyDescent="0.25">
      <c r="A456" s="8"/>
      <c r="C456" s="8" t="s">
        <v>626</v>
      </c>
      <c r="G456" t="s">
        <v>1109</v>
      </c>
      <c r="H456" t="s">
        <v>1077</v>
      </c>
      <c r="I456" t="s">
        <v>2</v>
      </c>
      <c r="P456" s="8" t="str">
        <f t="shared" si="7"/>
        <v>"ex:isInstanceOf": 
{
"@id": "#"
}</v>
      </c>
    </row>
    <row r="457" spans="1:16" x14ac:dyDescent="0.25">
      <c r="A457" s="8"/>
      <c r="C457" s="8"/>
      <c r="P457" s="8" t="str">
        <f t="shared" si="7"/>
        <v/>
      </c>
    </row>
    <row r="458" spans="1:16" x14ac:dyDescent="0.25">
      <c r="A458" s="8"/>
      <c r="C458" s="8"/>
      <c r="P458" s="8" t="str">
        <f t="shared" si="7"/>
        <v/>
      </c>
    </row>
    <row r="459" spans="1:16" x14ac:dyDescent="0.25">
      <c r="A459" s="8"/>
      <c r="C459" s="8"/>
      <c r="P459" s="8" t="str">
        <f t="shared" si="7"/>
        <v/>
      </c>
    </row>
    <row r="460" spans="1:16" x14ac:dyDescent="0.25">
      <c r="A460" s="8"/>
      <c r="C460" s="8"/>
      <c r="P460" s="8" t="str">
        <f t="shared" si="7"/>
        <v/>
      </c>
    </row>
    <row r="461" spans="1:16" x14ac:dyDescent="0.25">
      <c r="A461" s="8"/>
      <c r="C461" s="8"/>
      <c r="P461" s="8" t="str">
        <f t="shared" si="7"/>
        <v/>
      </c>
    </row>
    <row r="462" spans="1:16" x14ac:dyDescent="0.25">
      <c r="A462" s="8"/>
      <c r="C462" s="8"/>
      <c r="P462" s="8" t="str">
        <f t="shared" si="7"/>
        <v/>
      </c>
    </row>
    <row r="463" spans="1:16" x14ac:dyDescent="0.25">
      <c r="A463" s="8"/>
      <c r="C463" s="8"/>
      <c r="P463" s="8" t="str">
        <f t="shared" si="7"/>
        <v/>
      </c>
    </row>
    <row r="464" spans="1:16" x14ac:dyDescent="0.25">
      <c r="A464" s="8"/>
      <c r="P464" s="8" t="str">
        <f t="shared" si="7"/>
        <v/>
      </c>
    </row>
    <row r="465" spans="1:16" s="29" customFormat="1" x14ac:dyDescent="0.25">
      <c r="P465" s="29" t="str">
        <f t="shared" si="7"/>
        <v/>
      </c>
    </row>
    <row r="466" spans="1:16" x14ac:dyDescent="0.25">
      <c r="A466" s="34" t="s">
        <v>924</v>
      </c>
      <c r="C466" t="s">
        <v>498</v>
      </c>
      <c r="D466" t="s">
        <v>497</v>
      </c>
      <c r="J466" t="s">
        <v>985</v>
      </c>
      <c r="P466" s="8"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8"/>
      <c r="C467" t="s">
        <v>225</v>
      </c>
      <c r="D467" t="s">
        <v>497</v>
      </c>
      <c r="P467" s="8" t="str">
        <f t="shared" si="8"/>
        <v>"@type": "",</v>
      </c>
    </row>
    <row r="468" spans="1:16" x14ac:dyDescent="0.25">
      <c r="A468" s="8"/>
      <c r="C468" t="s">
        <v>223</v>
      </c>
      <c r="D468" t="s">
        <v>492</v>
      </c>
      <c r="P468" s="8" t="str">
        <f t="shared" si="8"/>
        <v>"schema:name": "",</v>
      </c>
    </row>
    <row r="469" spans="1:16" x14ac:dyDescent="0.25">
      <c r="A469" s="8"/>
      <c r="C469" t="s">
        <v>264</v>
      </c>
      <c r="D469" t="s">
        <v>492</v>
      </c>
      <c r="P469" s="8" t="str">
        <f t="shared" si="8"/>
        <v>"schema:description": "",</v>
      </c>
    </row>
    <row r="470" spans="1:16" x14ac:dyDescent="0.25">
      <c r="A470" s="8"/>
      <c r="C470" t="s">
        <v>986</v>
      </c>
      <c r="E470" t="s">
        <v>987</v>
      </c>
      <c r="P470" s="8" t="str">
        <f t="shared" si="8"/>
        <v>"ex:composition": "",</v>
      </c>
    </row>
    <row r="471" spans="1:16" x14ac:dyDescent="0.25">
      <c r="A471" s="8"/>
      <c r="P471" s="8" t="str">
        <f t="shared" si="8"/>
        <v/>
      </c>
    </row>
    <row r="472" spans="1:16" x14ac:dyDescent="0.25">
      <c r="A472" s="8"/>
      <c r="P472" s="8" t="str">
        <f t="shared" si="8"/>
        <v/>
      </c>
    </row>
    <row r="473" spans="1:16" x14ac:dyDescent="0.25">
      <c r="A473" s="8"/>
      <c r="P473" s="8" t="str">
        <f t="shared" si="8"/>
        <v/>
      </c>
    </row>
    <row r="474" spans="1:16" s="10" customFormat="1" x14ac:dyDescent="0.25">
      <c r="A474" s="20"/>
      <c r="P474" s="20" t="str">
        <f t="shared" si="8"/>
        <v/>
      </c>
    </row>
    <row r="475" spans="1:16" x14ac:dyDescent="0.25">
      <c r="A475" s="33" t="s">
        <v>1246</v>
      </c>
      <c r="C475" t="s">
        <v>498</v>
      </c>
      <c r="D475" t="s">
        <v>497</v>
      </c>
      <c r="G475" t="s">
        <v>1270</v>
      </c>
      <c r="H475" t="s">
        <v>629</v>
      </c>
      <c r="K475" t="s">
        <v>1091</v>
      </c>
      <c r="P475" s="8" t="str">
        <f t="shared" si="8"/>
        <v>"@id": "",</v>
      </c>
    </row>
    <row r="476" spans="1:16" x14ac:dyDescent="0.25">
      <c r="A476" s="8" t="s">
        <v>1247</v>
      </c>
      <c r="C476" t="s">
        <v>225</v>
      </c>
      <c r="D476" t="s">
        <v>497</v>
      </c>
      <c r="G476" t="s">
        <v>1270</v>
      </c>
      <c r="H476" t="s">
        <v>629</v>
      </c>
      <c r="K476" t="s">
        <v>1091</v>
      </c>
      <c r="P476" s="8" t="str">
        <f t="shared" si="8"/>
        <v>"@type": "",</v>
      </c>
    </row>
    <row r="477" spans="1:16" x14ac:dyDescent="0.25">
      <c r="A477" s="8"/>
      <c r="C477" t="s">
        <v>223</v>
      </c>
      <c r="D477" t="s">
        <v>492</v>
      </c>
      <c r="G477" t="s">
        <v>1270</v>
      </c>
      <c r="H477" t="s">
        <v>629</v>
      </c>
      <c r="K477" t="s">
        <v>1091</v>
      </c>
      <c r="P477" s="8" t="str">
        <f t="shared" si="8"/>
        <v>"schema:name": "",</v>
      </c>
    </row>
    <row r="478" spans="1:16" x14ac:dyDescent="0.25">
      <c r="A478" s="8"/>
      <c r="C478" t="s">
        <v>264</v>
      </c>
      <c r="D478" t="s">
        <v>492</v>
      </c>
      <c r="G478" t="s">
        <v>1270</v>
      </c>
      <c r="H478" t="s">
        <v>629</v>
      </c>
      <c r="K478" t="s">
        <v>1092</v>
      </c>
      <c r="P478" s="8" t="str">
        <f t="shared" si="8"/>
        <v>"schema:description": "",</v>
      </c>
    </row>
    <row r="479" spans="1:16" x14ac:dyDescent="0.25">
      <c r="A479" s="8"/>
      <c r="C479" t="s">
        <v>1248</v>
      </c>
      <c r="P479" s="8" t="str">
        <f t="shared" si="8"/>
        <v>"ex:desribesPhase": "",</v>
      </c>
    </row>
    <row r="480" spans="1:16" x14ac:dyDescent="0.25">
      <c r="A480" s="8"/>
      <c r="C480" t="s">
        <v>1249</v>
      </c>
      <c r="E480" t="s">
        <v>1250</v>
      </c>
      <c r="P480" s="8" t="str">
        <f t="shared" si="8"/>
        <v>"ex:describesMaterialRepresentation": "",</v>
      </c>
    </row>
    <row r="481" spans="1:16" x14ac:dyDescent="0.25">
      <c r="A481" s="8"/>
      <c r="C481" t="s">
        <v>1251</v>
      </c>
      <c r="E481" t="s">
        <v>1252</v>
      </c>
      <c r="P481" s="8" t="str">
        <f t="shared" si="8"/>
        <v>"ex:atTime": "",</v>
      </c>
    </row>
    <row r="482" spans="1:16" x14ac:dyDescent="0.25">
      <c r="A482" s="8"/>
      <c r="C482" t="s">
        <v>1547</v>
      </c>
      <c r="E482" t="s">
        <v>1253</v>
      </c>
      <c r="F482" t="s">
        <v>1257</v>
      </c>
      <c r="K482" t="s">
        <v>1263</v>
      </c>
      <c r="P482" s="8" t="str">
        <f t="shared" si="8"/>
        <v>"ex:atLocation": "",</v>
      </c>
    </row>
    <row r="483" spans="1:16" x14ac:dyDescent="0.25">
      <c r="A483" s="8"/>
      <c r="C483" t="s">
        <v>1057</v>
      </c>
      <c r="E483" t="s">
        <v>1254</v>
      </c>
      <c r="P483" s="8" t="str">
        <f t="shared" si="8"/>
        <v>"ex:hasComposition": "",</v>
      </c>
    </row>
    <row r="484" spans="1:16" x14ac:dyDescent="0.25">
      <c r="A484" s="8"/>
      <c r="C484" t="s">
        <v>1255</v>
      </c>
      <c r="E484" t="s">
        <v>1256</v>
      </c>
      <c r="P484" s="8" t="str">
        <f t="shared" si="8"/>
        <v>"ex:hasStateVariables": "",</v>
      </c>
    </row>
    <row r="485" spans="1:16" x14ac:dyDescent="0.25">
      <c r="A485" s="8"/>
      <c r="P485" s="8" t="str">
        <f t="shared" si="8"/>
        <v/>
      </c>
    </row>
    <row r="486" spans="1:16" x14ac:dyDescent="0.25">
      <c r="A486" s="8"/>
      <c r="P486" s="8" t="str">
        <f t="shared" si="8"/>
        <v/>
      </c>
    </row>
    <row r="487" spans="1:16" x14ac:dyDescent="0.25">
      <c r="A487" s="8"/>
      <c r="P487" s="8" t="str">
        <f t="shared" si="8"/>
        <v/>
      </c>
    </row>
    <row r="488" spans="1:16" s="31" customFormat="1" x14ac:dyDescent="0.25">
      <c r="A488" s="31" t="s">
        <v>1086</v>
      </c>
      <c r="P488" s="28" t="str">
        <f t="shared" si="8"/>
        <v/>
      </c>
    </row>
    <row r="489" spans="1:16" s="29" customFormat="1" x14ac:dyDescent="0.25">
      <c r="P489" s="29" t="str">
        <f t="shared" si="8"/>
        <v/>
      </c>
    </row>
    <row r="490" spans="1:16" x14ac:dyDescent="0.25">
      <c r="A490" s="8" t="s">
        <v>3</v>
      </c>
      <c r="C490" t="s">
        <v>498</v>
      </c>
      <c r="D490" t="s">
        <v>497</v>
      </c>
      <c r="P490" s="8" t="str">
        <f t="shared" si="8"/>
        <v>"@id": "",</v>
      </c>
    </row>
    <row r="491" spans="1:16" x14ac:dyDescent="0.25">
      <c r="A491" s="8"/>
      <c r="C491" t="s">
        <v>225</v>
      </c>
      <c r="D491" t="s">
        <v>497</v>
      </c>
      <c r="E491" t="s">
        <v>277</v>
      </c>
      <c r="P491" s="8" t="str">
        <f t="shared" si="8"/>
        <v>"@type": "",</v>
      </c>
    </row>
    <row r="492" spans="1:16" x14ac:dyDescent="0.25">
      <c r="A492" s="8"/>
      <c r="C492" t="s">
        <v>223</v>
      </c>
      <c r="D492" t="s">
        <v>492</v>
      </c>
      <c r="E492" t="s">
        <v>66</v>
      </c>
      <c r="N492" t="s">
        <v>13</v>
      </c>
      <c r="O492" t="s">
        <v>3</v>
      </c>
      <c r="P492" s="8" t="str">
        <f t="shared" si="8"/>
        <v>"schema:name": "",</v>
      </c>
    </row>
    <row r="493" spans="1:16" x14ac:dyDescent="0.25">
      <c r="A493" s="8"/>
      <c r="C493" t="s">
        <v>284</v>
      </c>
      <c r="N493" t="s">
        <v>13</v>
      </c>
      <c r="O493" t="s">
        <v>3</v>
      </c>
      <c r="P493" s="8" t="str">
        <f t="shared" si="8"/>
        <v>"ex:hasInchi": "",</v>
      </c>
    </row>
    <row r="494" spans="1:16" x14ac:dyDescent="0.25">
      <c r="A494" s="8"/>
      <c r="C494" t="s">
        <v>283</v>
      </c>
      <c r="N494" t="s">
        <v>22</v>
      </c>
      <c r="O494" t="s">
        <v>3</v>
      </c>
      <c r="P494" s="8" t="str">
        <f t="shared" si="8"/>
        <v>"ex:hasSmiles": "",</v>
      </c>
    </row>
    <row r="495" spans="1:16" x14ac:dyDescent="0.25">
      <c r="A495" s="8"/>
      <c r="C495" t="s">
        <v>289</v>
      </c>
      <c r="N495" t="s">
        <v>22</v>
      </c>
      <c r="O495" t="s">
        <v>3</v>
      </c>
      <c r="P495" s="8" t="str">
        <f t="shared" si="8"/>
        <v>"ex:hasCas": "",</v>
      </c>
    </row>
    <row r="496" spans="1:16" x14ac:dyDescent="0.25">
      <c r="A496" s="8"/>
      <c r="C496" s="7" t="s">
        <v>171</v>
      </c>
      <c r="D496" s="7"/>
      <c r="E496" s="7" t="s">
        <v>370</v>
      </c>
      <c r="H496" t="s">
        <v>232</v>
      </c>
      <c r="N496" t="s">
        <v>24</v>
      </c>
      <c r="O496" t="s">
        <v>3</v>
      </c>
      <c r="P496" s="8" t="str">
        <f t="shared" si="8"/>
        <v>"ex:preparationTime": "",</v>
      </c>
    </row>
    <row r="497" spans="1:16" x14ac:dyDescent="0.25">
      <c r="A497" s="8"/>
      <c r="C497" s="7" t="s">
        <v>234</v>
      </c>
      <c r="D497" s="7"/>
      <c r="E497" s="7" t="s">
        <v>290</v>
      </c>
      <c r="F497" t="s">
        <v>291</v>
      </c>
      <c r="H497" t="s">
        <v>294</v>
      </c>
      <c r="N497" t="s">
        <v>24</v>
      </c>
      <c r="O497" t="s">
        <v>3</v>
      </c>
      <c r="P497" s="8" t="str">
        <f t="shared" si="8"/>
        <v>"ex:preparationProcedure": "",</v>
      </c>
    </row>
    <row r="498" spans="1:16" x14ac:dyDescent="0.25">
      <c r="A498" s="8"/>
      <c r="C498" s="7" t="s">
        <v>286</v>
      </c>
      <c r="D498" s="7"/>
      <c r="E498" s="7"/>
      <c r="F498" t="s">
        <v>292</v>
      </c>
      <c r="H498" t="s">
        <v>231</v>
      </c>
      <c r="N498" t="s">
        <v>26</v>
      </c>
      <c r="O498" t="s">
        <v>3</v>
      </c>
      <c r="P498" s="8" t="str">
        <f t="shared" si="8"/>
        <v>"ex:hasPartialMolarVolume": "",</v>
      </c>
    </row>
    <row r="499" spans="1:16" x14ac:dyDescent="0.25">
      <c r="A499" s="8"/>
      <c r="C499" t="s">
        <v>287</v>
      </c>
      <c r="E499" t="s">
        <v>288</v>
      </c>
      <c r="H499" t="s">
        <v>296</v>
      </c>
      <c r="N499" t="s">
        <v>26</v>
      </c>
      <c r="O499" t="s">
        <v>3</v>
      </c>
      <c r="P499" s="8" t="str">
        <f t="shared" si="8"/>
        <v>"ex:hasMolecularStructure": "",</v>
      </c>
    </row>
    <row r="500" spans="1:16" x14ac:dyDescent="0.25">
      <c r="A500" s="8"/>
      <c r="C500" t="s">
        <v>293</v>
      </c>
      <c r="E500" t="s">
        <v>74</v>
      </c>
      <c r="H500" t="s">
        <v>371</v>
      </c>
      <c r="N500" t="s">
        <v>28</v>
      </c>
      <c r="O500" t="s">
        <v>3</v>
      </c>
      <c r="P500" s="8" t="str">
        <f t="shared" si="8"/>
        <v>"ex:consistsOfAtoms": "",</v>
      </c>
    </row>
    <row r="501" spans="1:16" x14ac:dyDescent="0.25">
      <c r="A501" s="8"/>
      <c r="P501" s="8" t="str">
        <f t="shared" si="8"/>
        <v/>
      </c>
    </row>
    <row r="502" spans="1:16" s="29" customFormat="1" x14ac:dyDescent="0.25">
      <c r="P502" s="29" t="str">
        <f t="shared" si="8"/>
        <v/>
      </c>
    </row>
    <row r="503" spans="1:16" x14ac:dyDescent="0.25">
      <c r="A503" s="8" t="s">
        <v>732</v>
      </c>
      <c r="B503" t="s">
        <v>729</v>
      </c>
      <c r="C503" t="s">
        <v>498</v>
      </c>
      <c r="D503" t="s">
        <v>497</v>
      </c>
      <c r="P503" s="8" t="str">
        <f t="shared" si="8"/>
        <v>"@id": "",</v>
      </c>
    </row>
    <row r="504" spans="1:16" x14ac:dyDescent="0.25">
      <c r="A504" s="8"/>
      <c r="C504" t="s">
        <v>225</v>
      </c>
      <c r="D504" t="s">
        <v>497</v>
      </c>
      <c r="P504" s="8" t="str">
        <f t="shared" si="8"/>
        <v>"@type": "",</v>
      </c>
    </row>
    <row r="505" spans="1:16" x14ac:dyDescent="0.25">
      <c r="A505" s="8"/>
      <c r="C505" t="s">
        <v>223</v>
      </c>
      <c r="D505" t="s">
        <v>492</v>
      </c>
      <c r="P505" s="8" t="str">
        <f t="shared" si="8"/>
        <v>"schema:name": "",</v>
      </c>
    </row>
    <row r="506" spans="1:16" x14ac:dyDescent="0.25">
      <c r="A506" s="8"/>
      <c r="C506" t="s">
        <v>176</v>
      </c>
      <c r="E506" t="s">
        <v>731</v>
      </c>
      <c r="P506" s="8" t="str">
        <f t="shared" si="8"/>
        <v>"ex:consistsOf": "",</v>
      </c>
    </row>
    <row r="507" spans="1:16" x14ac:dyDescent="0.25">
      <c r="A507" s="8"/>
      <c r="P507" s="8" t="str">
        <f t="shared" si="8"/>
        <v/>
      </c>
    </row>
    <row r="508" spans="1:16" x14ac:dyDescent="0.25">
      <c r="A508" s="8"/>
      <c r="P508" s="8" t="str">
        <f t="shared" si="8"/>
        <v/>
      </c>
    </row>
    <row r="509" spans="1:16" x14ac:dyDescent="0.25">
      <c r="A509" s="8"/>
      <c r="P509" s="8" t="str">
        <f t="shared" si="8"/>
        <v/>
      </c>
    </row>
    <row r="510" spans="1:16" x14ac:dyDescent="0.25">
      <c r="A510" s="8"/>
      <c r="P510" s="8" t="str">
        <f t="shared" si="8"/>
        <v/>
      </c>
    </row>
    <row r="511" spans="1:16" x14ac:dyDescent="0.25">
      <c r="A511" s="8"/>
      <c r="B511" t="s">
        <v>730</v>
      </c>
      <c r="C511" t="s">
        <v>498</v>
      </c>
      <c r="D511" t="s">
        <v>497</v>
      </c>
      <c r="P511" s="8" t="str">
        <f t="shared" si="8"/>
        <v>"@id": "",</v>
      </c>
    </row>
    <row r="512" spans="1:16" x14ac:dyDescent="0.25">
      <c r="A512" s="8"/>
      <c r="C512" t="s">
        <v>225</v>
      </c>
      <c r="D512" t="s">
        <v>497</v>
      </c>
      <c r="P512" s="8" t="str">
        <f t="shared" si="8"/>
        <v>"@type": "",</v>
      </c>
    </row>
    <row r="513" spans="1:16" x14ac:dyDescent="0.25">
      <c r="A513" s="8"/>
      <c r="C513" t="s">
        <v>223</v>
      </c>
      <c r="D513" t="s">
        <v>492</v>
      </c>
      <c r="P513" s="8" t="str">
        <f t="shared" si="8"/>
        <v>"schema:name": "",</v>
      </c>
    </row>
    <row r="514" spans="1:16" x14ac:dyDescent="0.25">
      <c r="A514" s="8"/>
      <c r="C514" t="s">
        <v>733</v>
      </c>
      <c r="E514" t="s">
        <v>734</v>
      </c>
      <c r="J514" t="s">
        <v>61</v>
      </c>
      <c r="P514" s="8" t="str">
        <f t="shared" si="8"/>
        <v>"ex:hasAdsorbate": "",</v>
      </c>
    </row>
    <row r="515" spans="1:16" x14ac:dyDescent="0.25">
      <c r="A515" s="8"/>
      <c r="C515" t="s">
        <v>735</v>
      </c>
      <c r="E515" t="s">
        <v>736</v>
      </c>
      <c r="J515" t="s">
        <v>737</v>
      </c>
      <c r="P515" s="8" t="str">
        <f t="shared" si="8"/>
        <v>"ex:hasVacantSite": "",</v>
      </c>
    </row>
    <row r="516" spans="1:16" x14ac:dyDescent="0.25">
      <c r="A516" s="8"/>
      <c r="P516" s="8" t="str">
        <f t="shared" si="8"/>
        <v/>
      </c>
    </row>
    <row r="517" spans="1:16" x14ac:dyDescent="0.25">
      <c r="A517" s="8"/>
      <c r="P517" s="8" t="str">
        <f t="shared" si="8"/>
        <v/>
      </c>
    </row>
    <row r="518" spans="1:16" x14ac:dyDescent="0.25">
      <c r="P518" s="8" t="str">
        <f t="shared" si="8"/>
        <v/>
      </c>
    </row>
    <row r="519" spans="1:16" x14ac:dyDescent="0.25">
      <c r="P519" s="8" t="str">
        <f t="shared" si="8"/>
        <v/>
      </c>
    </row>
    <row r="520" spans="1:16" s="31" customFormat="1" x14ac:dyDescent="0.25">
      <c r="A520" s="31" t="s">
        <v>1087</v>
      </c>
      <c r="P520" s="28" t="str">
        <f t="shared" si="8"/>
        <v/>
      </c>
    </row>
    <row r="521" spans="1:16" s="29" customFormat="1" hidden="1" x14ac:dyDescent="0.25">
      <c r="P521" s="29" t="str">
        <f t="shared" si="8"/>
        <v/>
      </c>
    </row>
    <row r="522" spans="1:16" hidden="1" x14ac:dyDescent="0.25">
      <c r="A522" s="8" t="s">
        <v>810</v>
      </c>
      <c r="C522" t="s">
        <v>498</v>
      </c>
      <c r="D522" t="s">
        <v>497</v>
      </c>
      <c r="F522" t="s">
        <v>1069</v>
      </c>
      <c r="P522" s="8" t="str">
        <f t="shared" si="8"/>
        <v>"@id": "",</v>
      </c>
    </row>
    <row r="523" spans="1:16" hidden="1" x14ac:dyDescent="0.25">
      <c r="A523" s="8" t="s">
        <v>929</v>
      </c>
      <c r="C523" t="s">
        <v>225</v>
      </c>
      <c r="D523" t="s">
        <v>497</v>
      </c>
      <c r="E523" t="s">
        <v>808</v>
      </c>
      <c r="P523" s="8" t="str">
        <f t="shared" si="8"/>
        <v>"@type": "",</v>
      </c>
    </row>
    <row r="524" spans="1:16" hidden="1" x14ac:dyDescent="0.25">
      <c r="A524" s="8"/>
      <c r="C524" t="s">
        <v>223</v>
      </c>
      <c r="D524" t="s">
        <v>492</v>
      </c>
      <c r="J524" t="s">
        <v>809</v>
      </c>
      <c r="P524" s="8" t="str">
        <f t="shared" si="8"/>
        <v>"schema:name": "",</v>
      </c>
    </row>
    <row r="525" spans="1:16" hidden="1" x14ac:dyDescent="0.25">
      <c r="A525" s="8"/>
      <c r="C525" t="s">
        <v>264</v>
      </c>
      <c r="D525" t="s">
        <v>492</v>
      </c>
      <c r="P525" s="8" t="str">
        <f t="shared" si="8"/>
        <v>"schema:description": "",</v>
      </c>
    </row>
    <row r="526" spans="1:16" hidden="1" x14ac:dyDescent="0.25">
      <c r="A526" s="8"/>
      <c r="C526" t="s">
        <v>11</v>
      </c>
      <c r="D526" t="s">
        <v>492</v>
      </c>
      <c r="E526" t="s">
        <v>1015</v>
      </c>
      <c r="F526" t="s">
        <v>1016</v>
      </c>
      <c r="P526" s="8" t="str">
        <f t="shared" si="8"/>
        <v>"schema:hasPart": "",</v>
      </c>
    </row>
    <row r="527" spans="1:16" hidden="1" x14ac:dyDescent="0.25">
      <c r="A527" s="8"/>
      <c r="C527" t="s">
        <v>617</v>
      </c>
      <c r="E527" t="s">
        <v>1122</v>
      </c>
      <c r="K527" t="s">
        <v>1092</v>
      </c>
      <c r="P527" s="8" t="str">
        <f t="shared" si="8"/>
        <v>"ex:describesContext": "",</v>
      </c>
    </row>
    <row r="528" spans="1:16" hidden="1" x14ac:dyDescent="0.25">
      <c r="A528" s="8"/>
      <c r="P528" s="8" t="str">
        <f t="shared" si="8"/>
        <v/>
      </c>
    </row>
    <row r="529" spans="1:16" hidden="1" x14ac:dyDescent="0.25">
      <c r="A529" s="8"/>
      <c r="P529" s="8" t="str">
        <f t="shared" si="8"/>
        <v/>
      </c>
    </row>
    <row r="530" spans="1:16" hidden="1" x14ac:dyDescent="0.25">
      <c r="A530" s="8"/>
      <c r="P530" s="8"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9" customFormat="1" hidden="1" x14ac:dyDescent="0.25">
      <c r="P531" s="29" t="str">
        <f t="shared" si="9"/>
        <v/>
      </c>
    </row>
    <row r="532" spans="1:16" hidden="1" x14ac:dyDescent="0.25">
      <c r="A532" s="8" t="s">
        <v>235</v>
      </c>
      <c r="B532" t="s">
        <v>1021</v>
      </c>
      <c r="C532" t="s">
        <v>498</v>
      </c>
      <c r="D532" t="s">
        <v>497</v>
      </c>
      <c r="P532" s="8" t="str">
        <f t="shared" si="9"/>
        <v>"@id": "",</v>
      </c>
    </row>
    <row r="533" spans="1:16" hidden="1" x14ac:dyDescent="0.25">
      <c r="A533" s="8" t="s">
        <v>1160</v>
      </c>
      <c r="C533" t="s">
        <v>225</v>
      </c>
      <c r="D533" t="s">
        <v>497</v>
      </c>
      <c r="E533" t="s">
        <v>1021</v>
      </c>
      <c r="P533" s="8" t="str">
        <f t="shared" si="9"/>
        <v>"@type": "",</v>
      </c>
    </row>
    <row r="534" spans="1:16" hidden="1" x14ac:dyDescent="0.25">
      <c r="A534" s="8"/>
      <c r="C534" t="s">
        <v>223</v>
      </c>
      <c r="D534" t="s">
        <v>492</v>
      </c>
      <c r="P534" s="8" t="str">
        <f t="shared" si="9"/>
        <v>"schema:name": "",</v>
      </c>
    </row>
    <row r="535" spans="1:16" hidden="1" x14ac:dyDescent="0.25">
      <c r="A535" s="8"/>
      <c r="C535" t="s">
        <v>264</v>
      </c>
      <c r="D535" t="s">
        <v>492</v>
      </c>
      <c r="P535" s="8" t="str">
        <f t="shared" si="9"/>
        <v>"schema:description": "",</v>
      </c>
    </row>
    <row r="536" spans="1:16" hidden="1" x14ac:dyDescent="0.25">
      <c r="A536" s="8"/>
      <c r="F536" t="s">
        <v>1024</v>
      </c>
      <c r="H536" t="s">
        <v>1023</v>
      </c>
      <c r="P536" s="8" t="str">
        <f t="shared" si="9"/>
        <v/>
      </c>
    </row>
    <row r="537" spans="1:16" hidden="1" x14ac:dyDescent="0.25">
      <c r="A537" s="8"/>
      <c r="P537" s="8" t="str">
        <f t="shared" si="9"/>
        <v/>
      </c>
    </row>
    <row r="538" spans="1:16" hidden="1" x14ac:dyDescent="0.25">
      <c r="A538" s="8"/>
      <c r="C538" t="s">
        <v>1019</v>
      </c>
      <c r="E538" t="s">
        <v>1038</v>
      </c>
      <c r="H538" t="s">
        <v>1026</v>
      </c>
      <c r="P538" s="8" t="str">
        <f t="shared" si="9"/>
        <v>"ex:hasTransferredStream": "",</v>
      </c>
    </row>
    <row r="539" spans="1:16" hidden="1" x14ac:dyDescent="0.25">
      <c r="A539" s="8"/>
      <c r="C539" t="s">
        <v>876</v>
      </c>
      <c r="P539" s="8" t="str">
        <f t="shared" si="9"/>
        <v>"ex:hasInstance": "",</v>
      </c>
    </row>
    <row r="540" spans="1:16" hidden="1" x14ac:dyDescent="0.25">
      <c r="A540" s="8"/>
      <c r="C540" t="s">
        <v>1175</v>
      </c>
      <c r="E540" t="s">
        <v>1176</v>
      </c>
      <c r="P540" s="8" t="str">
        <f t="shared" si="9"/>
        <v>"ex:realizesFunction": "",</v>
      </c>
    </row>
    <row r="541" spans="1:16" hidden="1" x14ac:dyDescent="0.25">
      <c r="A541" s="8"/>
      <c r="P541" s="8" t="str">
        <f t="shared" si="9"/>
        <v/>
      </c>
    </row>
    <row r="542" spans="1:16" hidden="1" x14ac:dyDescent="0.25">
      <c r="A542" s="8"/>
      <c r="P542" s="8" t="str">
        <f t="shared" si="9"/>
        <v/>
      </c>
    </row>
    <row r="543" spans="1:16" hidden="1" x14ac:dyDescent="0.25">
      <c r="A543" s="8"/>
      <c r="C543" t="s">
        <v>79</v>
      </c>
      <c r="P543" s="8" t="str">
        <f t="shared" si="9"/>
        <v>"ex: ": "",</v>
      </c>
    </row>
    <row r="544" spans="1:16" hidden="1" x14ac:dyDescent="0.25">
      <c r="A544" s="8"/>
      <c r="P544" s="8" t="str">
        <f t="shared" si="9"/>
        <v/>
      </c>
    </row>
    <row r="545" spans="1:16" hidden="1" x14ac:dyDescent="0.25">
      <c r="A545" s="8"/>
      <c r="B545" t="s">
        <v>1022</v>
      </c>
      <c r="C545" t="s">
        <v>498</v>
      </c>
      <c r="D545" t="s">
        <v>497</v>
      </c>
      <c r="P545" s="8" t="str">
        <f t="shared" si="9"/>
        <v>"@id": "",</v>
      </c>
    </row>
    <row r="546" spans="1:16" hidden="1" x14ac:dyDescent="0.25">
      <c r="A546" s="8"/>
      <c r="C546" t="s">
        <v>225</v>
      </c>
      <c r="D546" t="s">
        <v>497</v>
      </c>
      <c r="E546" t="s">
        <v>1022</v>
      </c>
      <c r="P546" s="8" t="str">
        <f t="shared" si="9"/>
        <v>"@type": "",</v>
      </c>
    </row>
    <row r="547" spans="1:16" hidden="1" x14ac:dyDescent="0.25">
      <c r="A547" s="8"/>
      <c r="C547" t="s">
        <v>223</v>
      </c>
      <c r="D547" t="s">
        <v>492</v>
      </c>
      <c r="P547" s="8" t="str">
        <f t="shared" si="9"/>
        <v>"schema:name": "",</v>
      </c>
    </row>
    <row r="548" spans="1:16" hidden="1" x14ac:dyDescent="0.25">
      <c r="A548" s="8"/>
      <c r="C548" t="s">
        <v>264</v>
      </c>
      <c r="D548" t="s">
        <v>492</v>
      </c>
      <c r="P548" s="8" t="str">
        <f t="shared" si="9"/>
        <v>"schema:description": "",</v>
      </c>
    </row>
    <row r="549" spans="1:16" hidden="1" x14ac:dyDescent="0.25">
      <c r="A549" s="8"/>
      <c r="P549" s="8" t="str">
        <f t="shared" si="9"/>
        <v/>
      </c>
    </row>
    <row r="550" spans="1:16" hidden="1" x14ac:dyDescent="0.25">
      <c r="A550" s="8"/>
      <c r="P550" s="8" t="str">
        <f t="shared" si="9"/>
        <v/>
      </c>
    </row>
    <row r="551" spans="1:16" hidden="1" x14ac:dyDescent="0.25">
      <c r="A551" s="8"/>
      <c r="C551" t="s">
        <v>1180</v>
      </c>
      <c r="E551" t="s">
        <v>1008</v>
      </c>
      <c r="F551" t="s">
        <v>1181</v>
      </c>
      <c r="P551" s="8" t="str">
        <f t="shared" si="9"/>
        <v>"ex:usedEquippment/performedBy": "",</v>
      </c>
    </row>
    <row r="552" spans="1:16" hidden="1" x14ac:dyDescent="0.25">
      <c r="A552" s="8"/>
      <c r="C552" t="s">
        <v>830</v>
      </c>
      <c r="E552" t="s">
        <v>831</v>
      </c>
      <c r="H552" t="s">
        <v>1040</v>
      </c>
      <c r="P552" s="8" t="str">
        <f t="shared" si="9"/>
        <v>"ex:hasSetpointProfile": "",</v>
      </c>
    </row>
    <row r="553" spans="1:16" hidden="1" x14ac:dyDescent="0.25">
      <c r="A553" s="8"/>
      <c r="C553" t="s">
        <v>1007</v>
      </c>
      <c r="E553" t="s">
        <v>1014</v>
      </c>
      <c r="H553" t="s">
        <v>1037</v>
      </c>
      <c r="P553" s="8" t="str">
        <f t="shared" si="9"/>
        <v>"ex:generatesStream": "",</v>
      </c>
    </row>
    <row r="554" spans="1:16" hidden="1" x14ac:dyDescent="0.25">
      <c r="A554" s="8"/>
      <c r="C554" t="s">
        <v>876</v>
      </c>
      <c r="H554" t="s">
        <v>1077</v>
      </c>
      <c r="P554" s="8" t="str">
        <f t="shared" si="9"/>
        <v>"ex:hasInstance": 
{
"@id": "#"
}</v>
      </c>
    </row>
    <row r="555" spans="1:16" hidden="1" x14ac:dyDescent="0.25">
      <c r="A555" s="8"/>
      <c r="P555" s="8" t="str">
        <f t="shared" si="9"/>
        <v/>
      </c>
    </row>
    <row r="556" spans="1:16" s="29" customFormat="1" hidden="1" x14ac:dyDescent="0.25">
      <c r="P556" s="29" t="str">
        <f t="shared" si="9"/>
        <v/>
      </c>
    </row>
    <row r="557" spans="1:16" hidden="1" x14ac:dyDescent="0.25">
      <c r="A557" s="8" t="s">
        <v>1036</v>
      </c>
      <c r="B557" t="s">
        <v>1021</v>
      </c>
      <c r="C557" t="s">
        <v>498</v>
      </c>
      <c r="D557" t="s">
        <v>497</v>
      </c>
      <c r="P557" s="8" t="str">
        <f t="shared" si="9"/>
        <v>"@id": "",</v>
      </c>
    </row>
    <row r="558" spans="1:16" hidden="1" x14ac:dyDescent="0.25">
      <c r="A558" s="8"/>
      <c r="C558" t="s">
        <v>225</v>
      </c>
      <c r="D558" t="s">
        <v>497</v>
      </c>
      <c r="E558" t="s">
        <v>1043</v>
      </c>
      <c r="P558" s="8" t="str">
        <f t="shared" si="9"/>
        <v>"@type": "",</v>
      </c>
    </row>
    <row r="559" spans="1:16" hidden="1" x14ac:dyDescent="0.25">
      <c r="A559" s="8"/>
      <c r="C559" t="s">
        <v>223</v>
      </c>
      <c r="D559" t="s">
        <v>492</v>
      </c>
      <c r="P559" s="8" t="str">
        <f t="shared" si="9"/>
        <v>"schema:name": "",</v>
      </c>
    </row>
    <row r="560" spans="1:16" hidden="1" x14ac:dyDescent="0.25">
      <c r="A560" s="8"/>
      <c r="C560" t="s">
        <v>264</v>
      </c>
      <c r="D560" t="s">
        <v>492</v>
      </c>
      <c r="P560" s="8" t="str">
        <f t="shared" si="9"/>
        <v>"schema:description": "",</v>
      </c>
    </row>
    <row r="561" spans="1:16" hidden="1" x14ac:dyDescent="0.25">
      <c r="A561" s="8"/>
      <c r="C561" t="s">
        <v>436</v>
      </c>
      <c r="E561" t="s">
        <v>1025</v>
      </c>
      <c r="P561" s="8" t="str">
        <f t="shared" si="9"/>
        <v>"ex:hasStartTime": "",</v>
      </c>
    </row>
    <row r="562" spans="1:16" hidden="1" x14ac:dyDescent="0.25">
      <c r="A562" s="8"/>
      <c r="C562" t="s">
        <v>438</v>
      </c>
      <c r="H562" t="s">
        <v>1023</v>
      </c>
      <c r="P562" s="8" t="str">
        <f t="shared" si="9"/>
        <v>"ex:hasDuration": "",</v>
      </c>
    </row>
    <row r="563" spans="1:16" hidden="1" x14ac:dyDescent="0.25">
      <c r="A563" s="8"/>
      <c r="C563" t="s">
        <v>1019</v>
      </c>
      <c r="H563" t="s">
        <v>1039</v>
      </c>
      <c r="P563" s="8" t="str">
        <f t="shared" si="9"/>
        <v>"ex:hasTransferredStream": "",</v>
      </c>
    </row>
    <row r="564" spans="1:16" hidden="1" x14ac:dyDescent="0.25">
      <c r="A564" s="8"/>
      <c r="C564" t="s">
        <v>626</v>
      </c>
      <c r="H564" t="s">
        <v>1077</v>
      </c>
      <c r="P564" s="8" t="str">
        <f t="shared" si="9"/>
        <v>"ex:isInstanceOf": 
{
"@id": "#"
}</v>
      </c>
    </row>
    <row r="565" spans="1:16" hidden="1" x14ac:dyDescent="0.25">
      <c r="A565" s="8"/>
      <c r="P565" s="8" t="str">
        <f t="shared" si="9"/>
        <v/>
      </c>
    </row>
    <row r="566" spans="1:16" hidden="1" x14ac:dyDescent="0.25">
      <c r="A566" s="8"/>
      <c r="P566" s="8" t="str">
        <f t="shared" si="9"/>
        <v/>
      </c>
    </row>
    <row r="567" spans="1:16" hidden="1" x14ac:dyDescent="0.25">
      <c r="A567" s="8"/>
      <c r="P567" s="8" t="str">
        <f t="shared" si="9"/>
        <v/>
      </c>
    </row>
    <row r="568" spans="1:16" hidden="1" x14ac:dyDescent="0.25">
      <c r="A568" s="8"/>
      <c r="C568" t="s">
        <v>79</v>
      </c>
      <c r="P568" s="8" t="str">
        <f t="shared" si="9"/>
        <v>"ex: ": "",</v>
      </c>
    </row>
    <row r="569" spans="1:16" hidden="1" x14ac:dyDescent="0.25">
      <c r="A569" s="8"/>
      <c r="P569" s="8" t="str">
        <f t="shared" si="9"/>
        <v/>
      </c>
    </row>
    <row r="570" spans="1:16" hidden="1" x14ac:dyDescent="0.25">
      <c r="A570" s="8"/>
      <c r="B570" t="s">
        <v>1022</v>
      </c>
      <c r="C570" t="s">
        <v>498</v>
      </c>
      <c r="D570" t="s">
        <v>497</v>
      </c>
      <c r="P570" s="8" t="str">
        <f t="shared" si="9"/>
        <v>"@id": "",</v>
      </c>
    </row>
    <row r="571" spans="1:16" hidden="1" x14ac:dyDescent="0.25">
      <c r="A571" s="8"/>
      <c r="C571" t="s">
        <v>225</v>
      </c>
      <c r="D571" t="s">
        <v>497</v>
      </c>
      <c r="E571" t="s">
        <v>1044</v>
      </c>
      <c r="P571" s="8" t="str">
        <f t="shared" si="9"/>
        <v>"@type": "",</v>
      </c>
    </row>
    <row r="572" spans="1:16" hidden="1" x14ac:dyDescent="0.25">
      <c r="A572" s="8"/>
      <c r="C572" t="s">
        <v>223</v>
      </c>
      <c r="D572" t="s">
        <v>492</v>
      </c>
      <c r="P572" s="8" t="str">
        <f t="shared" si="9"/>
        <v>"schema:name": "",</v>
      </c>
    </row>
    <row r="573" spans="1:16" hidden="1" x14ac:dyDescent="0.25">
      <c r="A573" s="8"/>
      <c r="C573" t="s">
        <v>264</v>
      </c>
      <c r="D573" t="s">
        <v>492</v>
      </c>
      <c r="P573" s="8" t="str">
        <f t="shared" si="9"/>
        <v>"schema:description": "",</v>
      </c>
    </row>
    <row r="574" spans="1:16" hidden="1" x14ac:dyDescent="0.25">
      <c r="A574" s="8"/>
      <c r="C574" t="s">
        <v>436</v>
      </c>
      <c r="P574" s="8" t="str">
        <f t="shared" si="9"/>
        <v>"ex:hasStartTime": "",</v>
      </c>
    </row>
    <row r="575" spans="1:16" hidden="1" x14ac:dyDescent="0.25">
      <c r="A575" s="8"/>
      <c r="C575" t="s">
        <v>438</v>
      </c>
      <c r="E575" t="s">
        <v>1035</v>
      </c>
      <c r="P575" s="8" t="str">
        <f t="shared" si="9"/>
        <v>"ex:hasDuration": "",</v>
      </c>
    </row>
    <row r="576" spans="1:16" hidden="1" x14ac:dyDescent="0.25">
      <c r="A576" s="8"/>
      <c r="C576" s="7" t="s">
        <v>829</v>
      </c>
      <c r="D576" s="7"/>
      <c r="E576" s="7" t="s">
        <v>1008</v>
      </c>
      <c r="F576" t="s">
        <v>1041</v>
      </c>
      <c r="P576" s="8" t="str">
        <f t="shared" si="9"/>
        <v>"ex:usedEquippment": "",</v>
      </c>
    </row>
    <row r="577" spans="1:16" hidden="1" x14ac:dyDescent="0.25">
      <c r="A577" s="8"/>
      <c r="C577" t="s">
        <v>830</v>
      </c>
      <c r="E577" t="s">
        <v>831</v>
      </c>
      <c r="H577" t="s">
        <v>1042</v>
      </c>
      <c r="P577" s="8" t="str">
        <f t="shared" si="9"/>
        <v>"ex:hasSetpointProfile": "",</v>
      </c>
    </row>
    <row r="578" spans="1:16" hidden="1" x14ac:dyDescent="0.25">
      <c r="A578" s="8"/>
      <c r="C578" t="s">
        <v>1007</v>
      </c>
      <c r="E578" t="s">
        <v>1014</v>
      </c>
      <c r="H578" t="s">
        <v>1039</v>
      </c>
      <c r="P578" s="8" t="str">
        <f t="shared" si="9"/>
        <v>"ex:generatesStream": "",</v>
      </c>
    </row>
    <row r="579" spans="1:16" hidden="1" x14ac:dyDescent="0.25">
      <c r="A579" s="8"/>
      <c r="C579" t="s">
        <v>626</v>
      </c>
      <c r="P579" s="8" t="str">
        <f t="shared" si="9"/>
        <v>"ex:isInstanceOf": "",</v>
      </c>
    </row>
    <row r="580" spans="1:16" hidden="1" x14ac:dyDescent="0.25">
      <c r="A580" s="8"/>
      <c r="P580" s="8" t="str">
        <f t="shared" si="9"/>
        <v/>
      </c>
    </row>
    <row r="581" spans="1:16" hidden="1" x14ac:dyDescent="0.25">
      <c r="A581" s="8"/>
      <c r="P581" s="8" t="str">
        <f t="shared" si="9"/>
        <v/>
      </c>
    </row>
    <row r="582" spans="1:16" s="10" customFormat="1" x14ac:dyDescent="0.25">
      <c r="A582" s="20"/>
      <c r="P582" s="20" t="str">
        <f t="shared" si="9"/>
        <v/>
      </c>
    </row>
    <row r="583" spans="1:16" x14ac:dyDescent="0.25">
      <c r="A583" s="33" t="s">
        <v>1210</v>
      </c>
      <c r="C583" t="s">
        <v>498</v>
      </c>
      <c r="D583" t="s">
        <v>497</v>
      </c>
      <c r="G583" t="s">
        <v>1270</v>
      </c>
      <c r="H583" t="s">
        <v>629</v>
      </c>
      <c r="K583" t="s">
        <v>1091</v>
      </c>
      <c r="P583" s="8" t="str">
        <f t="shared" si="9"/>
        <v>"@id": "",</v>
      </c>
    </row>
    <row r="584" spans="1:16" x14ac:dyDescent="0.25">
      <c r="C584" t="s">
        <v>225</v>
      </c>
      <c r="D584" t="s">
        <v>497</v>
      </c>
      <c r="G584" t="s">
        <v>1270</v>
      </c>
      <c r="H584" t="s">
        <v>629</v>
      </c>
      <c r="J584" t="s">
        <v>1568</v>
      </c>
      <c r="K584" t="s">
        <v>1091</v>
      </c>
      <c r="P584" s="8" t="str">
        <f t="shared" si="9"/>
        <v>"@type": "",</v>
      </c>
    </row>
    <row r="585" spans="1:16" x14ac:dyDescent="0.25">
      <c r="C585" t="s">
        <v>223</v>
      </c>
      <c r="D585" t="s">
        <v>492</v>
      </c>
      <c r="G585" t="s">
        <v>1270</v>
      </c>
      <c r="H585" t="s">
        <v>629</v>
      </c>
      <c r="K585" t="s">
        <v>1091</v>
      </c>
      <c r="P585" s="8" t="str">
        <f t="shared" si="9"/>
        <v>"schema:name": "",</v>
      </c>
    </row>
    <row r="586" spans="1:16" x14ac:dyDescent="0.25">
      <c r="C586" t="s">
        <v>264</v>
      </c>
      <c r="D586" t="s">
        <v>492</v>
      </c>
      <c r="G586" t="s">
        <v>1270</v>
      </c>
      <c r="H586" t="s">
        <v>629</v>
      </c>
      <c r="K586" t="s">
        <v>1092</v>
      </c>
      <c r="P586" s="8" t="str">
        <f t="shared" si="9"/>
        <v>"schema:description": "",</v>
      </c>
    </row>
    <row r="587" spans="1:16" x14ac:dyDescent="0.25">
      <c r="C587" t="s">
        <v>11</v>
      </c>
      <c r="D587" t="s">
        <v>492</v>
      </c>
      <c r="E587" t="s">
        <v>1211</v>
      </c>
      <c r="G587" t="s">
        <v>1213</v>
      </c>
      <c r="H587" t="s">
        <v>229</v>
      </c>
      <c r="I587" t="s">
        <v>235</v>
      </c>
      <c r="P587" s="8" t="str">
        <f t="shared" si="9"/>
        <v>"schema:hasPart": 
[
{
"@id": "#"
},
{
"@id": "#"
}
],</v>
      </c>
    </row>
    <row r="588" spans="1:16" s="31" customFormat="1" hidden="1" x14ac:dyDescent="0.25">
      <c r="A588" s="31" t="s">
        <v>1088</v>
      </c>
      <c r="C588" t="s">
        <v>617</v>
      </c>
      <c r="D588"/>
      <c r="P588" s="28" t="str">
        <f t="shared" si="9"/>
        <v>"ex:describesContext": "",</v>
      </c>
    </row>
    <row r="589" spans="1:16" s="29" customFormat="1" hidden="1" x14ac:dyDescent="0.25">
      <c r="P589" s="29" t="str">
        <f t="shared" si="9"/>
        <v/>
      </c>
    </row>
    <row r="590" spans="1:16" hidden="1" x14ac:dyDescent="0.25">
      <c r="A590" s="8" t="s">
        <v>776</v>
      </c>
      <c r="C590" t="s">
        <v>498</v>
      </c>
      <c r="D590" t="s">
        <v>497</v>
      </c>
      <c r="J590" t="s">
        <v>778</v>
      </c>
      <c r="P590" s="8" t="str">
        <f t="shared" si="9"/>
        <v>"@id": "",</v>
      </c>
    </row>
    <row r="591" spans="1:16" hidden="1" x14ac:dyDescent="0.25">
      <c r="A591" s="8"/>
      <c r="C591" t="s">
        <v>225</v>
      </c>
      <c r="D591" t="s">
        <v>497</v>
      </c>
      <c r="E591" t="s">
        <v>835</v>
      </c>
      <c r="P591" s="8" t="str">
        <f t="shared" si="9"/>
        <v>"@type": "",</v>
      </c>
    </row>
    <row r="592" spans="1:16" hidden="1" x14ac:dyDescent="0.25">
      <c r="A592" s="8"/>
      <c r="C592" t="s">
        <v>223</v>
      </c>
      <c r="D592" t="s">
        <v>492</v>
      </c>
      <c r="P592" s="8" t="str">
        <f t="shared" si="9"/>
        <v>"schema:name": "",</v>
      </c>
    </row>
    <row r="593" spans="1:16" hidden="1" x14ac:dyDescent="0.25">
      <c r="A593" s="8"/>
      <c r="C593" t="s">
        <v>264</v>
      </c>
      <c r="D593" t="s">
        <v>492</v>
      </c>
      <c r="P593" s="8" t="str">
        <f t="shared" si="9"/>
        <v>"schema:description": "",</v>
      </c>
    </row>
    <row r="594" spans="1:16" hidden="1" x14ac:dyDescent="0.25">
      <c r="A594" s="8"/>
      <c r="C594" t="s">
        <v>781</v>
      </c>
      <c r="D594" t="s">
        <v>614</v>
      </c>
      <c r="F594" t="s">
        <v>837</v>
      </c>
      <c r="J594" t="s">
        <v>642</v>
      </c>
      <c r="P594" s="8"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8"/>
      <c r="C595" t="s">
        <v>628</v>
      </c>
      <c r="D595" t="s">
        <v>614</v>
      </c>
      <c r="P595" s="8" t="str">
        <f t="shared" si="10"/>
        <v>"qudt:hasUnit": "",</v>
      </c>
    </row>
    <row r="596" spans="1:16" hidden="1" x14ac:dyDescent="0.25">
      <c r="A596" s="8"/>
      <c r="C596" t="s">
        <v>316</v>
      </c>
      <c r="E596" t="s">
        <v>782</v>
      </c>
      <c r="P596" s="8" t="str">
        <f t="shared" si="10"/>
        <v>"ex:variability": "",</v>
      </c>
    </row>
    <row r="597" spans="1:16" hidden="1" x14ac:dyDescent="0.25">
      <c r="A597" s="8"/>
      <c r="C597" t="s">
        <v>617</v>
      </c>
      <c r="H597" t="s">
        <v>838</v>
      </c>
      <c r="J597" t="s">
        <v>768</v>
      </c>
      <c r="P597" s="8" t="str">
        <f t="shared" si="10"/>
        <v>"ex:describesContext": "",</v>
      </c>
    </row>
    <row r="598" spans="1:16" hidden="1" x14ac:dyDescent="0.25">
      <c r="A598" s="8"/>
      <c r="C598" t="s">
        <v>611</v>
      </c>
      <c r="E598" t="s">
        <v>836</v>
      </c>
      <c r="H598" t="s">
        <v>233</v>
      </c>
      <c r="P598" s="8" t="str">
        <f t="shared" si="10"/>
        <v>"ex:setBy": 
{
"@id": "#"
}</v>
      </c>
    </row>
    <row r="599" spans="1:16" hidden="1" x14ac:dyDescent="0.25">
      <c r="A599" s="8"/>
      <c r="C599" s="8" t="s">
        <v>839</v>
      </c>
      <c r="D599" s="8"/>
      <c r="E599" s="8" t="s">
        <v>840</v>
      </c>
      <c r="J599" t="s">
        <v>841</v>
      </c>
      <c r="P599" s="8" t="str">
        <f t="shared" si="10"/>
        <v>"ex:hasInstances": "",</v>
      </c>
    </row>
    <row r="600" spans="1:16" hidden="1" x14ac:dyDescent="0.25">
      <c r="A600" s="8"/>
      <c r="P600" s="8" t="str">
        <f t="shared" si="10"/>
        <v/>
      </c>
    </row>
    <row r="601" spans="1:16" hidden="1" x14ac:dyDescent="0.25">
      <c r="A601" s="8"/>
      <c r="C601" s="22" t="s">
        <v>11</v>
      </c>
      <c r="D601" s="7" t="s">
        <v>492</v>
      </c>
      <c r="E601" s="7" t="s">
        <v>767</v>
      </c>
      <c r="F601" t="s">
        <v>783</v>
      </c>
      <c r="L601" s="7"/>
      <c r="P601" s="8" t="str">
        <f t="shared" si="10"/>
        <v>"schema:hasPart": "",</v>
      </c>
    </row>
    <row r="602" spans="1:16" hidden="1" x14ac:dyDescent="0.25">
      <c r="A602" s="8"/>
      <c r="C602" s="7"/>
      <c r="D602" s="7"/>
      <c r="E602" s="7"/>
      <c r="P602" s="8" t="str">
        <f t="shared" si="10"/>
        <v/>
      </c>
    </row>
    <row r="603" spans="1:16" hidden="1" x14ac:dyDescent="0.25">
      <c r="A603" s="8"/>
      <c r="P603" s="8" t="str">
        <f t="shared" si="10"/>
        <v/>
      </c>
    </row>
    <row r="604" spans="1:16" s="29" customFormat="1" hidden="1" x14ac:dyDescent="0.25">
      <c r="P604" s="29" t="str">
        <f t="shared" si="10"/>
        <v/>
      </c>
    </row>
    <row r="605" spans="1:16" hidden="1" x14ac:dyDescent="0.25">
      <c r="A605" s="8" t="s">
        <v>777</v>
      </c>
      <c r="C605" t="s">
        <v>498</v>
      </c>
      <c r="D605" t="s">
        <v>497</v>
      </c>
      <c r="J605" t="s">
        <v>779</v>
      </c>
      <c r="P605" s="8" t="str">
        <f t="shared" si="10"/>
        <v>"@id": "",</v>
      </c>
    </row>
    <row r="606" spans="1:16" hidden="1" x14ac:dyDescent="0.25">
      <c r="A606" s="8"/>
      <c r="C606" t="s">
        <v>225</v>
      </c>
      <c r="D606" t="s">
        <v>497</v>
      </c>
      <c r="E606" t="s">
        <v>777</v>
      </c>
      <c r="P606" s="8" t="str">
        <f t="shared" si="10"/>
        <v>"@type": "",</v>
      </c>
    </row>
    <row r="607" spans="1:16" hidden="1" x14ac:dyDescent="0.25">
      <c r="A607" s="8"/>
      <c r="C607" t="s">
        <v>223</v>
      </c>
      <c r="D607" t="s">
        <v>492</v>
      </c>
      <c r="P607" s="8" t="str">
        <f t="shared" si="10"/>
        <v>"schema:name": "",</v>
      </c>
    </row>
    <row r="608" spans="1:16" hidden="1" x14ac:dyDescent="0.25">
      <c r="A608" s="8"/>
      <c r="C608" t="s">
        <v>264</v>
      </c>
      <c r="D608" t="s">
        <v>492</v>
      </c>
      <c r="P608" s="8" t="str">
        <f t="shared" si="10"/>
        <v>"schema:description": "",</v>
      </c>
    </row>
    <row r="609" spans="1:16" hidden="1" x14ac:dyDescent="0.25">
      <c r="A609" s="8"/>
      <c r="C609" t="s">
        <v>626</v>
      </c>
      <c r="E609" t="s">
        <v>784</v>
      </c>
      <c r="J609" t="s">
        <v>778</v>
      </c>
      <c r="P609" s="8" t="str">
        <f t="shared" si="10"/>
        <v>"ex:isInstanceOf": "",</v>
      </c>
    </row>
    <row r="610" spans="1:16" ht="90" hidden="1" x14ac:dyDescent="0.25">
      <c r="A610" s="8"/>
      <c r="C610" t="s">
        <v>11</v>
      </c>
      <c r="D610" t="s">
        <v>492</v>
      </c>
      <c r="E610" s="17" t="s">
        <v>845</v>
      </c>
      <c r="J610" s="17" t="s">
        <v>780</v>
      </c>
      <c r="L610" s="17"/>
      <c r="P610" s="8" t="str">
        <f t="shared" si="10"/>
        <v>"schema:hasPart": "",</v>
      </c>
    </row>
    <row r="611" spans="1:16" hidden="1" x14ac:dyDescent="0.25">
      <c r="A611" s="8"/>
      <c r="P611" s="8" t="str">
        <f t="shared" si="10"/>
        <v/>
      </c>
    </row>
    <row r="612" spans="1:16" hidden="1" x14ac:dyDescent="0.25">
      <c r="A612" s="8"/>
      <c r="C612" s="7" t="s">
        <v>781</v>
      </c>
      <c r="F612" t="s">
        <v>857</v>
      </c>
      <c r="P612" s="8" t="str">
        <f t="shared" si="10"/>
        <v>"ex:quantityKind": "",</v>
      </c>
    </row>
    <row r="613" spans="1:16" hidden="1" x14ac:dyDescent="0.25">
      <c r="A613" s="8"/>
      <c r="C613" s="7" t="s">
        <v>628</v>
      </c>
      <c r="F613" t="s">
        <v>857</v>
      </c>
      <c r="P613" s="8" t="str">
        <f t="shared" si="10"/>
        <v>"ex:hasUnit": "",</v>
      </c>
    </row>
    <row r="614" spans="1:16" hidden="1" x14ac:dyDescent="0.25">
      <c r="A614" s="8"/>
      <c r="P614" s="8" t="str">
        <f t="shared" si="10"/>
        <v/>
      </c>
    </row>
    <row r="615" spans="1:16" x14ac:dyDescent="0.25">
      <c r="A615" s="8"/>
      <c r="C615" t="s">
        <v>617</v>
      </c>
      <c r="G615" t="s">
        <v>1213</v>
      </c>
      <c r="H615" t="s">
        <v>1077</v>
      </c>
      <c r="I615" t="s">
        <v>1233</v>
      </c>
      <c r="P615" s="8" t="str">
        <f t="shared" si="10"/>
        <v>"ex:describesContext": 
{
"@id": "#"
}</v>
      </c>
    </row>
    <row r="616" spans="1:16" x14ac:dyDescent="0.25">
      <c r="A616" s="8"/>
      <c r="C616" t="s">
        <v>1212</v>
      </c>
      <c r="E616" t="s">
        <v>1243</v>
      </c>
      <c r="F616" t="s">
        <v>1260</v>
      </c>
      <c r="G616" t="s">
        <v>1213</v>
      </c>
      <c r="H616" t="s">
        <v>1242</v>
      </c>
      <c r="I616" t="s">
        <v>1205</v>
      </c>
      <c r="P616" s="8" t="str">
        <f t="shared" si="10"/>
        <v>"ex:realizes": "",</v>
      </c>
    </row>
    <row r="617" spans="1:16" x14ac:dyDescent="0.25">
      <c r="A617" s="8"/>
      <c r="C617" t="s">
        <v>436</v>
      </c>
      <c r="E617" t="s">
        <v>1239</v>
      </c>
      <c r="F617" t="s">
        <v>1530</v>
      </c>
      <c r="G617" t="s">
        <v>1109</v>
      </c>
      <c r="H617" t="s">
        <v>1533</v>
      </c>
      <c r="I617" t="s">
        <v>1234</v>
      </c>
      <c r="P617" s="8" t="str">
        <f t="shared" si="10"/>
        <v>"ex:hasStartTime": "",</v>
      </c>
    </row>
    <row r="618" spans="1:16" x14ac:dyDescent="0.25">
      <c r="A618" s="8"/>
      <c r="C618" t="s">
        <v>1531</v>
      </c>
      <c r="E618" t="s">
        <v>1532</v>
      </c>
      <c r="H618" t="s">
        <v>1533</v>
      </c>
      <c r="I618" t="s">
        <v>1023</v>
      </c>
      <c r="P618" s="8" t="str">
        <f t="shared" si="10"/>
        <v>"ex:hasStartOffset": "",</v>
      </c>
    </row>
    <row r="619" spans="1:16" x14ac:dyDescent="0.25">
      <c r="A619" s="8"/>
      <c r="C619" t="s">
        <v>438</v>
      </c>
      <c r="E619" t="s">
        <v>1238</v>
      </c>
      <c r="G619" t="s">
        <v>1109</v>
      </c>
      <c r="H619" t="s">
        <v>1077</v>
      </c>
      <c r="I619" t="s">
        <v>1023</v>
      </c>
      <c r="P619" s="8" t="str">
        <f t="shared" si="10"/>
        <v>"ex:hasDuration": 
{
"@id": "#"
}</v>
      </c>
    </row>
    <row r="620" spans="1:16" x14ac:dyDescent="0.25">
      <c r="A620" s="8"/>
      <c r="C620" t="s">
        <v>1214</v>
      </c>
      <c r="E620" t="s">
        <v>1541</v>
      </c>
      <c r="G620" t="s">
        <v>1213</v>
      </c>
      <c r="H620" t="s">
        <v>1077</v>
      </c>
      <c r="I620" t="s">
        <v>1219</v>
      </c>
      <c r="P620" s="8" t="str">
        <f t="shared" si="10"/>
        <v>"ex:performedBy": 
{
"@id": "#"
}</v>
      </c>
    </row>
    <row r="621" spans="1:16" x14ac:dyDescent="0.25">
      <c r="A621" s="8"/>
      <c r="C621" t="s">
        <v>1539</v>
      </c>
      <c r="E621" t="s">
        <v>1540</v>
      </c>
      <c r="H621" t="s">
        <v>1077</v>
      </c>
      <c r="I621" t="s">
        <v>1580</v>
      </c>
      <c r="P621" s="8" t="str">
        <f t="shared" si="10"/>
        <v>"ex:usedEquipment": 
{
"@id": "#"
}</v>
      </c>
    </row>
    <row r="622" spans="1:16" x14ac:dyDescent="0.25">
      <c r="A622" s="8"/>
      <c r="C622" t="s">
        <v>1578</v>
      </c>
      <c r="D622" t="s">
        <v>1559</v>
      </c>
      <c r="E622" t="s">
        <v>1579</v>
      </c>
      <c r="I622" t="s">
        <v>1581</v>
      </c>
      <c r="P622" s="8" t="str">
        <f t="shared" si="10"/>
        <v>"sosa:madeBySensor": "",</v>
      </c>
    </row>
    <row r="623" spans="1:16" x14ac:dyDescent="0.25">
      <c r="A623" s="8"/>
      <c r="C623" t="s">
        <v>1215</v>
      </c>
      <c r="E623" t="s">
        <v>1216</v>
      </c>
      <c r="F623" t="s">
        <v>1534</v>
      </c>
      <c r="H623" t="s">
        <v>1077</v>
      </c>
      <c r="I623" t="s">
        <v>1163</v>
      </c>
      <c r="P623" s="8" t="str">
        <f t="shared" si="10"/>
        <v>"ex:hasSetProfile": 
{
"@id": "#"
}</v>
      </c>
    </row>
    <row r="624" spans="1:16" x14ac:dyDescent="0.25">
      <c r="A624" s="8"/>
      <c r="C624" t="s">
        <v>876</v>
      </c>
      <c r="G624" t="s">
        <v>1108</v>
      </c>
      <c r="H624" t="s">
        <v>1077</v>
      </c>
      <c r="I624" t="s">
        <v>235</v>
      </c>
      <c r="P624" s="8" t="str">
        <f t="shared" si="10"/>
        <v>"ex:hasInstance": 
{
"@id": "#"
}</v>
      </c>
    </row>
    <row r="625" spans="1:16" x14ac:dyDescent="0.25">
      <c r="A625" s="8"/>
      <c r="C625" t="s">
        <v>626</v>
      </c>
      <c r="G625" t="s">
        <v>1109</v>
      </c>
      <c r="H625" t="s">
        <v>1077</v>
      </c>
      <c r="I625" t="s">
        <v>235</v>
      </c>
      <c r="P625" s="8" t="str">
        <f t="shared" si="10"/>
        <v>"ex:isInstanceOf": 
{
"@id": "#"
}</v>
      </c>
    </row>
    <row r="626" spans="1:16" x14ac:dyDescent="0.25">
      <c r="A626" s="8"/>
      <c r="C626" s="7" t="s">
        <v>1217</v>
      </c>
      <c r="E626" t="s">
        <v>1218</v>
      </c>
      <c r="H626" t="s">
        <v>229</v>
      </c>
      <c r="I626" t="s">
        <v>955</v>
      </c>
      <c r="P626" s="8" t="str">
        <f t="shared" si="10"/>
        <v>"ex:generatesStream?": 
[
{
"@id": "#"
},
{
"@id": "#"
}
],</v>
      </c>
    </row>
    <row r="627" spans="1:16" x14ac:dyDescent="0.25">
      <c r="A627" s="8"/>
      <c r="C627" s="8" t="s">
        <v>1019</v>
      </c>
      <c r="E627" t="s">
        <v>1218</v>
      </c>
      <c r="F627" t="s">
        <v>1535</v>
      </c>
      <c r="H627" t="s">
        <v>1235</v>
      </c>
      <c r="I627" t="s">
        <v>955</v>
      </c>
      <c r="P627" s="8" t="str">
        <f t="shared" si="10"/>
        <v>"ex:hasTransferredStream": "",</v>
      </c>
    </row>
    <row r="628" spans="1:16" s="8" customFormat="1" x14ac:dyDescent="0.25">
      <c r="C628" s="8" t="s">
        <v>1542</v>
      </c>
      <c r="E628" s="8" t="s">
        <v>1543</v>
      </c>
      <c r="F628" s="8" t="s">
        <v>1544</v>
      </c>
      <c r="H628" s="8" t="s">
        <v>229</v>
      </c>
      <c r="I628" s="8" t="s">
        <v>2</v>
      </c>
      <c r="P628" s="8" t="str">
        <f t="shared" si="10"/>
        <v>"ex:generatesPhase": 
[
{
"@id": "#"
},
{
"@id": "#"
}
],</v>
      </c>
    </row>
    <row r="629" spans="1:16" x14ac:dyDescent="0.25">
      <c r="A629" s="8"/>
      <c r="P629" s="8" t="str">
        <f t="shared" si="10"/>
        <v/>
      </c>
    </row>
    <row r="630" spans="1:16" x14ac:dyDescent="0.25">
      <c r="A630" s="8"/>
      <c r="B630" s="8"/>
      <c r="C630" s="7"/>
      <c r="D630" s="8"/>
      <c r="E630" s="8"/>
      <c r="F630" s="7"/>
      <c r="G630" s="7"/>
      <c r="H630" s="7"/>
      <c r="J630" s="8"/>
      <c r="L630" s="8"/>
      <c r="M630" s="7"/>
      <c r="N630" s="7"/>
      <c r="O630" s="7"/>
      <c r="P630" s="8" t="str">
        <f t="shared" si="10"/>
        <v/>
      </c>
    </row>
    <row r="631" spans="1:16" s="29" customFormat="1" x14ac:dyDescent="0.25">
      <c r="P631" s="29" t="str">
        <f t="shared" si="10"/>
        <v/>
      </c>
    </row>
    <row r="632" spans="1:16" x14ac:dyDescent="0.25">
      <c r="A632" s="8" t="s">
        <v>1236</v>
      </c>
      <c r="B632" t="s">
        <v>771</v>
      </c>
      <c r="C632" t="s">
        <v>498</v>
      </c>
      <c r="D632" t="s">
        <v>497</v>
      </c>
      <c r="G632" t="s">
        <v>189</v>
      </c>
      <c r="H632" t="s">
        <v>629</v>
      </c>
      <c r="K632" t="s">
        <v>1091</v>
      </c>
      <c r="P632" s="8" t="str">
        <f t="shared" si="10"/>
        <v>"@id": "",</v>
      </c>
    </row>
    <row r="633" spans="1:16" x14ac:dyDescent="0.25">
      <c r="A633" s="8" t="s">
        <v>1237</v>
      </c>
      <c r="C633" t="s">
        <v>225</v>
      </c>
      <c r="D633" t="s">
        <v>497</v>
      </c>
      <c r="E633" t="s">
        <v>1274</v>
      </c>
      <c r="G633" t="s">
        <v>189</v>
      </c>
      <c r="H633" t="s">
        <v>629</v>
      </c>
      <c r="K633" t="s">
        <v>1091</v>
      </c>
      <c r="P633" s="8" t="str">
        <f t="shared" si="10"/>
        <v>"@type": "",</v>
      </c>
    </row>
    <row r="634" spans="1:16" x14ac:dyDescent="0.25">
      <c r="A634" s="8"/>
      <c r="C634" t="s">
        <v>223</v>
      </c>
      <c r="D634" t="s">
        <v>492</v>
      </c>
      <c r="G634" t="s">
        <v>189</v>
      </c>
      <c r="H634" t="s">
        <v>629</v>
      </c>
      <c r="K634" t="s">
        <v>1091</v>
      </c>
      <c r="P634" s="8" t="str">
        <f t="shared" si="10"/>
        <v>"schema:name": "",</v>
      </c>
    </row>
    <row r="635" spans="1:16" x14ac:dyDescent="0.25">
      <c r="A635" s="8"/>
      <c r="C635" t="s">
        <v>264</v>
      </c>
      <c r="D635" t="s">
        <v>492</v>
      </c>
      <c r="G635" t="s">
        <v>189</v>
      </c>
      <c r="H635" t="s">
        <v>629</v>
      </c>
      <c r="K635" t="s">
        <v>1092</v>
      </c>
      <c r="P635" s="8" t="str">
        <f t="shared" si="10"/>
        <v>"schema:description": "",</v>
      </c>
    </row>
    <row r="636" spans="1:16" x14ac:dyDescent="0.25">
      <c r="A636" s="8"/>
      <c r="C636" t="s">
        <v>772</v>
      </c>
      <c r="E636">
        <v>1</v>
      </c>
      <c r="F636" t="s">
        <v>775</v>
      </c>
      <c r="P636" s="8" t="str">
        <f t="shared" si="10"/>
        <v>"ex:hasSequenceNumber": "",</v>
      </c>
    </row>
    <row r="637" spans="1:16" x14ac:dyDescent="0.25">
      <c r="A637" s="8"/>
      <c r="C637" t="s">
        <v>863</v>
      </c>
      <c r="E637" t="s">
        <v>861</v>
      </c>
      <c r="J637" t="s">
        <v>779</v>
      </c>
      <c r="P637" s="8" t="str">
        <f t="shared" si="10"/>
        <v>"ex:isPartIn": "",</v>
      </c>
    </row>
    <row r="638" spans="1:16" ht="120" x14ac:dyDescent="0.25">
      <c r="A638" s="8"/>
      <c r="C638" t="s">
        <v>769</v>
      </c>
      <c r="E638" s="17" t="s">
        <v>858</v>
      </c>
      <c r="F638" t="s">
        <v>859</v>
      </c>
      <c r="J638">
        <v>30</v>
      </c>
      <c r="L638" s="17"/>
      <c r="P638" s="8" t="str">
        <f t="shared" si="10"/>
        <v>"ex:hasTarget": "",</v>
      </c>
    </row>
    <row r="639" spans="1:16" x14ac:dyDescent="0.25">
      <c r="A639" s="8"/>
      <c r="C639" t="s">
        <v>438</v>
      </c>
      <c r="E639" t="s">
        <v>773</v>
      </c>
      <c r="F639" t="s">
        <v>774</v>
      </c>
      <c r="H639" t="s">
        <v>507</v>
      </c>
      <c r="P639" s="8" t="str">
        <f t="shared" si="10"/>
        <v>"ex:hasDuration": "",</v>
      </c>
    </row>
    <row r="640" spans="1:16" ht="120" x14ac:dyDescent="0.25">
      <c r="A640" s="8"/>
      <c r="C640" t="s">
        <v>770</v>
      </c>
      <c r="E640" s="17" t="s">
        <v>858</v>
      </c>
      <c r="F640" t="s">
        <v>860</v>
      </c>
      <c r="L640" s="17"/>
      <c r="P640" s="8" t="str">
        <f t="shared" si="10"/>
        <v>"ex:hasRamp": "",</v>
      </c>
    </row>
    <row r="641" spans="1:16" x14ac:dyDescent="0.25">
      <c r="A641" s="8"/>
      <c r="P641" s="8" t="str">
        <f t="shared" si="10"/>
        <v/>
      </c>
    </row>
    <row r="642" spans="1:16" x14ac:dyDescent="0.25">
      <c r="A642" s="8"/>
      <c r="P642" s="8" t="str">
        <f t="shared" si="10"/>
        <v/>
      </c>
    </row>
    <row r="643" spans="1:16" x14ac:dyDescent="0.25">
      <c r="A643" s="8"/>
      <c r="P643" s="8" t="str">
        <f t="shared" si="10"/>
        <v/>
      </c>
    </row>
    <row r="644" spans="1:16" x14ac:dyDescent="0.25">
      <c r="A644" s="8"/>
      <c r="P644" s="8" t="str">
        <f t="shared" si="10"/>
        <v/>
      </c>
    </row>
    <row r="645" spans="1:16" x14ac:dyDescent="0.25">
      <c r="A645" s="8"/>
      <c r="P645" s="8" t="str">
        <f t="shared" si="10"/>
        <v/>
      </c>
    </row>
    <row r="646" spans="1:16" x14ac:dyDescent="0.25">
      <c r="A646" s="8"/>
      <c r="P646" s="8" t="str">
        <f t="shared" si="10"/>
        <v/>
      </c>
    </row>
    <row r="647" spans="1:16" x14ac:dyDescent="0.25">
      <c r="A647" s="8"/>
      <c r="B647" t="s">
        <v>688</v>
      </c>
      <c r="C647" t="s">
        <v>498</v>
      </c>
      <c r="D647" t="s">
        <v>497</v>
      </c>
      <c r="P647" s="8" t="str">
        <f t="shared" si="10"/>
        <v>"@id": "",</v>
      </c>
    </row>
    <row r="648" spans="1:16" x14ac:dyDescent="0.25">
      <c r="A648" s="8"/>
      <c r="C648" t="s">
        <v>225</v>
      </c>
      <c r="D648" t="s">
        <v>497</v>
      </c>
      <c r="P648" s="8" t="str">
        <f t="shared" si="10"/>
        <v>"@type": "",</v>
      </c>
    </row>
    <row r="649" spans="1:16" x14ac:dyDescent="0.25">
      <c r="A649" s="8"/>
      <c r="C649" t="s">
        <v>772</v>
      </c>
      <c r="P649" s="8" t="str">
        <f t="shared" si="10"/>
        <v>"ex:hasSequenceNumber": "",</v>
      </c>
    </row>
    <row r="650" spans="1:16" x14ac:dyDescent="0.25">
      <c r="A650" s="8"/>
      <c r="C650" t="s">
        <v>769</v>
      </c>
      <c r="F650" t="s">
        <v>791</v>
      </c>
      <c r="P650" s="8" t="str">
        <f t="shared" si="10"/>
        <v>"ex:hasTarget": "",</v>
      </c>
    </row>
    <row r="651" spans="1:16" x14ac:dyDescent="0.25">
      <c r="A651" s="8"/>
      <c r="C651" t="s">
        <v>438</v>
      </c>
      <c r="E651" t="s">
        <v>773</v>
      </c>
      <c r="F651" t="s">
        <v>790</v>
      </c>
      <c r="P651" s="8" t="str">
        <f t="shared" si="10"/>
        <v>"ex:hasDuration": "",</v>
      </c>
    </row>
    <row r="652" spans="1:16" x14ac:dyDescent="0.25">
      <c r="A652" s="8"/>
      <c r="P652" s="8" t="str">
        <f t="shared" si="10"/>
        <v/>
      </c>
    </row>
    <row r="653" spans="1:16" x14ac:dyDescent="0.25">
      <c r="A653" s="8"/>
      <c r="B653" s="8"/>
      <c r="C653" s="7"/>
      <c r="D653" s="8"/>
      <c r="E653" s="8"/>
      <c r="F653" s="7"/>
      <c r="G653" s="7"/>
      <c r="H653" s="7"/>
      <c r="J653" s="8"/>
      <c r="L653" s="8"/>
      <c r="M653" s="7"/>
      <c r="N653" s="7"/>
      <c r="O653" s="7"/>
      <c r="P653" s="8" t="str">
        <f t="shared" si="10"/>
        <v/>
      </c>
    </row>
    <row r="654" spans="1:16" x14ac:dyDescent="0.25">
      <c r="P654" s="8" t="str">
        <f t="shared" si="10"/>
        <v/>
      </c>
    </row>
    <row r="655" spans="1:16" x14ac:dyDescent="0.25">
      <c r="P655" s="8" t="str">
        <f t="shared" si="10"/>
        <v/>
      </c>
    </row>
    <row r="656" spans="1:16" x14ac:dyDescent="0.25">
      <c r="P656" s="8" t="str">
        <f t="shared" si="10"/>
        <v/>
      </c>
    </row>
    <row r="657" spans="1:16" s="31" customFormat="1" x14ac:dyDescent="0.25">
      <c r="A657" s="31" t="s">
        <v>1089</v>
      </c>
      <c r="P657" s="28" t="str">
        <f t="shared" si="10"/>
        <v/>
      </c>
    </row>
    <row r="658" spans="1:16" s="29" customFormat="1" hidden="1" x14ac:dyDescent="0.25">
      <c r="P658" s="29" t="str">
        <f t="shared" si="10"/>
        <v/>
      </c>
    </row>
    <row r="659" spans="1:16" hidden="1" x14ac:dyDescent="0.25">
      <c r="A659" s="8" t="s">
        <v>357</v>
      </c>
      <c r="B659" s="8" t="s">
        <v>608</v>
      </c>
      <c r="C659" s="8" t="s">
        <v>498</v>
      </c>
      <c r="D659" s="8" t="s">
        <v>497</v>
      </c>
      <c r="E659" s="8"/>
      <c r="L659" s="8"/>
      <c r="P659" s="8"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8" t="s">
        <v>842</v>
      </c>
      <c r="B660" s="7"/>
      <c r="C660" s="8" t="s">
        <v>225</v>
      </c>
      <c r="D660" s="8" t="s">
        <v>497</v>
      </c>
      <c r="E660" s="8" t="s">
        <v>357</v>
      </c>
      <c r="F660" s="7"/>
      <c r="G660" s="7"/>
      <c r="H660" s="7"/>
      <c r="J660" s="7"/>
      <c r="L660" s="8"/>
      <c r="M660" s="7"/>
      <c r="N660" s="7"/>
      <c r="O660" s="7"/>
      <c r="P660" s="8" t="str">
        <f t="shared" si="11"/>
        <v>"@type": "",</v>
      </c>
    </row>
    <row r="661" spans="1:16" hidden="1" x14ac:dyDescent="0.25">
      <c r="A661" s="8" t="s">
        <v>895</v>
      </c>
      <c r="B661" s="7"/>
      <c r="C661" s="8" t="s">
        <v>223</v>
      </c>
      <c r="D661" s="8" t="s">
        <v>492</v>
      </c>
      <c r="E661" s="8"/>
      <c r="F661" s="7"/>
      <c r="G661" s="7"/>
      <c r="H661" s="7"/>
      <c r="J661" s="7"/>
      <c r="L661" s="8"/>
      <c r="M661" s="7"/>
      <c r="N661" s="7"/>
      <c r="O661" s="7"/>
      <c r="P661" s="8" t="str">
        <f t="shared" si="11"/>
        <v>"schema:name": "",</v>
      </c>
    </row>
    <row r="662" spans="1:16" hidden="1" x14ac:dyDescent="0.25">
      <c r="A662" s="8"/>
      <c r="B662" s="7"/>
      <c r="C662" s="8" t="s">
        <v>264</v>
      </c>
      <c r="D662" s="8" t="s">
        <v>492</v>
      </c>
      <c r="E662" s="8"/>
      <c r="F662" s="7"/>
      <c r="G662" s="7"/>
      <c r="H662" s="7"/>
      <c r="J662" s="7"/>
      <c r="L662" s="8"/>
      <c r="M662" s="7"/>
      <c r="N662" s="7"/>
      <c r="O662" s="7"/>
      <c r="P662" s="8" t="str">
        <f t="shared" si="11"/>
        <v>"schema:description": "",</v>
      </c>
    </row>
    <row r="663" spans="1:16" hidden="1" x14ac:dyDescent="0.25">
      <c r="A663" s="8"/>
      <c r="C663" s="8" t="s">
        <v>315</v>
      </c>
      <c r="D663" s="8" t="s">
        <v>614</v>
      </c>
      <c r="E663" s="8" t="s">
        <v>314</v>
      </c>
      <c r="F663" s="7"/>
      <c r="G663" s="7"/>
      <c r="H663" s="7"/>
      <c r="J663" s="7"/>
      <c r="L663" s="8"/>
      <c r="M663" s="7"/>
      <c r="N663" s="7"/>
      <c r="O663" s="7"/>
      <c r="P663" s="8" t="str">
        <f t="shared" si="11"/>
        <v>"qudt:quantityType": "",</v>
      </c>
    </row>
    <row r="664" spans="1:16" hidden="1" x14ac:dyDescent="0.25">
      <c r="A664" s="8"/>
      <c r="C664" s="8" t="s">
        <v>628</v>
      </c>
      <c r="D664" s="8" t="s">
        <v>614</v>
      </c>
      <c r="E664" s="8"/>
      <c r="F664" s="7"/>
      <c r="G664" s="7"/>
      <c r="H664" s="7"/>
      <c r="J664" s="7"/>
      <c r="L664" s="8"/>
      <c r="M664" s="7"/>
      <c r="N664" s="7"/>
      <c r="O664" s="7"/>
      <c r="P664" s="8" t="str">
        <f t="shared" si="11"/>
        <v>"qudt:hasUnit": "",</v>
      </c>
    </row>
    <row r="665" spans="1:16" hidden="1" x14ac:dyDescent="0.25">
      <c r="A665" s="8"/>
      <c r="C665" s="8" t="s">
        <v>316</v>
      </c>
      <c r="D665" s="8"/>
      <c r="E665" s="8" t="s">
        <v>896</v>
      </c>
      <c r="F665" s="7"/>
      <c r="G665" s="7"/>
      <c r="H665" s="7"/>
      <c r="J665" s="7"/>
      <c r="L665" s="8"/>
      <c r="M665" s="7"/>
      <c r="N665" s="7"/>
      <c r="O665" s="7"/>
      <c r="P665" s="8" t="str">
        <f t="shared" si="11"/>
        <v>"ex:variability": "",</v>
      </c>
    </row>
    <row r="666" spans="1:16" hidden="1" x14ac:dyDescent="0.25">
      <c r="A666" s="8"/>
      <c r="C666" s="8" t="s">
        <v>617</v>
      </c>
      <c r="D666" s="8"/>
      <c r="E666" s="8"/>
      <c r="F666" s="7"/>
      <c r="G666" s="7"/>
      <c r="H666" s="7"/>
      <c r="J666" s="7"/>
      <c r="L666" s="8"/>
      <c r="M666" s="7"/>
      <c r="N666" s="7"/>
      <c r="O666" s="7"/>
      <c r="P666" s="8" t="str">
        <f t="shared" si="11"/>
        <v>"ex:describesContext": "",</v>
      </c>
    </row>
    <row r="667" spans="1:16" hidden="1" x14ac:dyDescent="0.25">
      <c r="A667" s="8"/>
      <c r="B667" s="7"/>
      <c r="C667" s="24" t="s">
        <v>611</v>
      </c>
      <c r="D667" s="24"/>
      <c r="E667" s="24" t="s">
        <v>619</v>
      </c>
      <c r="F667" s="7" t="s">
        <v>319</v>
      </c>
      <c r="G667" s="7"/>
      <c r="H667" s="7"/>
      <c r="J667" s="7"/>
      <c r="L667" s="8"/>
      <c r="M667" s="7"/>
      <c r="N667" s="7"/>
      <c r="O667" s="7"/>
      <c r="P667" s="8" t="str">
        <f t="shared" si="11"/>
        <v>"ex:setBy": "",</v>
      </c>
    </row>
    <row r="668" spans="1:16" hidden="1" x14ac:dyDescent="0.25">
      <c r="A668" s="8"/>
      <c r="B668" s="7"/>
      <c r="C668" s="8" t="s">
        <v>876</v>
      </c>
      <c r="D668" s="8"/>
      <c r="E668" s="8"/>
      <c r="F668" s="7"/>
      <c r="G668" s="7"/>
      <c r="H668" s="7"/>
      <c r="J668" s="7"/>
      <c r="L668" s="8"/>
      <c r="M668" s="7"/>
      <c r="N668" s="7"/>
      <c r="O668" s="7"/>
      <c r="P668" s="8" t="str">
        <f t="shared" si="11"/>
        <v>"ex:hasInstance": "",</v>
      </c>
    </row>
    <row r="669" spans="1:16" hidden="1" x14ac:dyDescent="0.25">
      <c r="A669" s="8"/>
      <c r="B669" s="7"/>
      <c r="D669" s="8"/>
      <c r="E669" s="8"/>
      <c r="F669" s="7"/>
      <c r="G669" s="7"/>
      <c r="H669" s="7"/>
      <c r="J669" s="7"/>
      <c r="L669" s="8"/>
      <c r="M669" s="7"/>
      <c r="N669" s="7"/>
      <c r="O669" s="7"/>
      <c r="P669" s="8" t="str">
        <f t="shared" si="11"/>
        <v/>
      </c>
    </row>
    <row r="670" spans="1:16" hidden="1" x14ac:dyDescent="0.25">
      <c r="A670" s="8"/>
      <c r="B670" s="7"/>
      <c r="C670" s="7"/>
      <c r="D670" s="8"/>
      <c r="E670" s="8"/>
      <c r="F670" s="7"/>
      <c r="G670" s="7"/>
      <c r="H670" s="7"/>
      <c r="J670" s="7"/>
      <c r="L670" s="8"/>
      <c r="M670" s="7"/>
      <c r="N670" s="7"/>
      <c r="O670" s="7"/>
      <c r="P670" s="8" t="str">
        <f t="shared" si="11"/>
        <v/>
      </c>
    </row>
    <row r="671" spans="1:16" hidden="1" x14ac:dyDescent="0.25">
      <c r="A671" s="8"/>
      <c r="B671" s="7"/>
      <c r="C671" s="7"/>
      <c r="D671" s="8"/>
      <c r="E671" s="8"/>
      <c r="F671" s="7"/>
      <c r="G671" s="7"/>
      <c r="H671" s="7"/>
      <c r="J671" s="7"/>
      <c r="L671" s="8"/>
      <c r="M671" s="7"/>
      <c r="N671" s="7"/>
      <c r="O671" s="7"/>
      <c r="P671" s="8" t="str">
        <f t="shared" si="11"/>
        <v/>
      </c>
    </row>
    <row r="672" spans="1:16" hidden="1" x14ac:dyDescent="0.25">
      <c r="A672" s="8"/>
      <c r="B672" s="7"/>
      <c r="C672" s="7"/>
      <c r="D672" s="8"/>
      <c r="E672" s="8"/>
      <c r="F672" s="7"/>
      <c r="G672" s="7"/>
      <c r="H672" s="7" t="s">
        <v>874</v>
      </c>
      <c r="J672" s="7"/>
      <c r="L672" s="8"/>
      <c r="M672" s="7"/>
      <c r="N672" s="7"/>
      <c r="O672" s="7"/>
      <c r="P672" s="8" t="str">
        <f t="shared" si="11"/>
        <v/>
      </c>
    </row>
    <row r="673" spans="1:16" hidden="1" x14ac:dyDescent="0.25">
      <c r="A673" s="8"/>
      <c r="B673" s="8" t="s">
        <v>612</v>
      </c>
      <c r="C673" s="8" t="s">
        <v>498</v>
      </c>
      <c r="D673" s="8" t="s">
        <v>497</v>
      </c>
      <c r="E673" s="8"/>
      <c r="F673" s="7"/>
      <c r="G673" s="7"/>
      <c r="H673" s="7"/>
      <c r="J673" s="7"/>
      <c r="L673" s="8"/>
      <c r="M673" s="7"/>
      <c r="N673" s="7"/>
      <c r="O673" s="7"/>
      <c r="P673" s="8" t="str">
        <f t="shared" si="11"/>
        <v>"@id": "",</v>
      </c>
    </row>
    <row r="674" spans="1:16" hidden="1" x14ac:dyDescent="0.25">
      <c r="A674" s="8"/>
      <c r="B674" s="7"/>
      <c r="C674" s="8" t="s">
        <v>225</v>
      </c>
      <c r="D674" s="8" t="s">
        <v>497</v>
      </c>
      <c r="E674" s="8" t="s">
        <v>357</v>
      </c>
      <c r="F674" s="7"/>
      <c r="G674" s="7"/>
      <c r="H674" s="7" t="s">
        <v>875</v>
      </c>
      <c r="J674" s="7"/>
      <c r="L674" s="8" t="s">
        <v>357</v>
      </c>
      <c r="M674" s="7" t="s">
        <v>844</v>
      </c>
      <c r="N674" s="7"/>
      <c r="O674" s="7"/>
      <c r="P674" s="8" t="str">
        <f t="shared" si="11"/>
        <v>"@type": "ex:ProcessVariable",</v>
      </c>
    </row>
    <row r="675" spans="1:16" hidden="1" x14ac:dyDescent="0.25">
      <c r="A675" s="8"/>
      <c r="B675" s="7"/>
      <c r="C675" s="8" t="s">
        <v>223</v>
      </c>
      <c r="D675" s="8" t="s">
        <v>492</v>
      </c>
      <c r="E675" s="8"/>
      <c r="F675" s="7"/>
      <c r="G675" s="7"/>
      <c r="H675" s="7"/>
      <c r="J675" s="7"/>
      <c r="L675" s="8"/>
      <c r="M675" s="7"/>
      <c r="N675" s="7"/>
      <c r="O675" s="7"/>
      <c r="P675" s="8" t="str">
        <f t="shared" si="11"/>
        <v>"schema:name": "",</v>
      </c>
    </row>
    <row r="676" spans="1:16" hidden="1" x14ac:dyDescent="0.25">
      <c r="A676" s="8"/>
      <c r="B676" s="7"/>
      <c r="C676" s="8" t="s">
        <v>264</v>
      </c>
      <c r="D676" s="8" t="s">
        <v>492</v>
      </c>
      <c r="E676" s="8"/>
      <c r="F676" s="7"/>
      <c r="G676" s="7"/>
      <c r="H676" s="7"/>
      <c r="J676" s="7"/>
      <c r="L676" s="8"/>
      <c r="M676" s="7"/>
      <c r="N676" s="7"/>
      <c r="O676" s="7"/>
      <c r="P676" s="8" t="str">
        <f t="shared" si="11"/>
        <v>"schema:description": "",</v>
      </c>
    </row>
    <row r="677" spans="1:16" hidden="1" x14ac:dyDescent="0.25">
      <c r="A677" s="8"/>
      <c r="B677" s="7"/>
      <c r="C677" s="8" t="s">
        <v>315</v>
      </c>
      <c r="D677" s="8" t="s">
        <v>614</v>
      </c>
      <c r="E677" s="8" t="s">
        <v>314</v>
      </c>
      <c r="F677" s="7"/>
      <c r="G677" s="7"/>
      <c r="H677" s="7"/>
      <c r="J677" s="7"/>
      <c r="L677" s="8"/>
      <c r="M677" s="7"/>
      <c r="N677" s="7"/>
      <c r="O677" s="7"/>
      <c r="P677" s="8" t="str">
        <f t="shared" si="11"/>
        <v>"qudt:quantityType": "",</v>
      </c>
    </row>
    <row r="678" spans="1:16" hidden="1" x14ac:dyDescent="0.25">
      <c r="A678" s="8"/>
      <c r="B678" s="7"/>
      <c r="C678" s="8" t="s">
        <v>628</v>
      </c>
      <c r="D678" s="8" t="s">
        <v>614</v>
      </c>
      <c r="E678" s="8"/>
      <c r="F678" s="7"/>
      <c r="G678" s="7"/>
      <c r="H678" s="7"/>
      <c r="J678" s="7"/>
      <c r="L678" s="8"/>
      <c r="M678" s="7"/>
      <c r="N678" s="7"/>
      <c r="O678" s="7"/>
      <c r="P678" s="8" t="str">
        <f t="shared" si="11"/>
        <v>"qudt:hasUnit": "",</v>
      </c>
    </row>
    <row r="679" spans="1:16" hidden="1" x14ac:dyDescent="0.25">
      <c r="A679" s="8"/>
      <c r="B679" s="7"/>
      <c r="C679" s="8" t="s">
        <v>316</v>
      </c>
      <c r="D679" s="8"/>
      <c r="E679" s="8" t="s">
        <v>317</v>
      </c>
      <c r="F679" s="7"/>
      <c r="G679" s="7"/>
      <c r="H679" s="7"/>
      <c r="J679" s="7"/>
      <c r="L679" s="8"/>
      <c r="M679" s="7"/>
      <c r="N679" s="7"/>
      <c r="O679" s="7"/>
      <c r="P679" s="8" t="str">
        <f t="shared" si="11"/>
        <v>"ex:variability": "",</v>
      </c>
    </row>
    <row r="680" spans="1:16" hidden="1" x14ac:dyDescent="0.25">
      <c r="A680" s="8"/>
      <c r="B680" s="7"/>
      <c r="C680" s="8" t="s">
        <v>617</v>
      </c>
      <c r="E680" s="8" t="s">
        <v>618</v>
      </c>
      <c r="F680" s="7"/>
      <c r="G680" s="7"/>
      <c r="H680" s="7"/>
      <c r="J680" s="7"/>
      <c r="L680" s="8"/>
      <c r="M680" s="7"/>
      <c r="N680" s="7"/>
      <c r="O680" s="7"/>
      <c r="P680" s="8" t="str">
        <f t="shared" si="11"/>
        <v>"ex:describesContext": "",</v>
      </c>
    </row>
    <row r="681" spans="1:16" hidden="1" x14ac:dyDescent="0.25">
      <c r="A681" s="8"/>
      <c r="B681" s="7"/>
      <c r="C681" s="8" t="s">
        <v>318</v>
      </c>
      <c r="D681" s="8"/>
      <c r="E681" s="8" t="s">
        <v>613</v>
      </c>
      <c r="F681" s="7"/>
      <c r="G681" s="7"/>
      <c r="H681" s="7"/>
      <c r="J681" s="7"/>
      <c r="L681" s="8"/>
      <c r="M681" s="7"/>
      <c r="N681" s="7"/>
      <c r="O681" s="7"/>
      <c r="P681" s="8" t="str">
        <f t="shared" si="11"/>
        <v>"ex:recordedBy": "",</v>
      </c>
    </row>
    <row r="682" spans="1:16" hidden="1" x14ac:dyDescent="0.25">
      <c r="A682" s="8"/>
      <c r="B682" s="7"/>
      <c r="C682" s="8" t="s">
        <v>876</v>
      </c>
      <c r="D682" s="7"/>
      <c r="E682" s="8"/>
      <c r="F682" s="7"/>
      <c r="G682" s="7"/>
      <c r="H682" s="7"/>
      <c r="J682" s="7"/>
      <c r="L682" s="8"/>
      <c r="M682" s="7"/>
      <c r="N682" s="7"/>
      <c r="O682" s="7"/>
      <c r="P682" s="8" t="str">
        <f t="shared" si="11"/>
        <v>"ex:hasInstance": "",</v>
      </c>
    </row>
    <row r="683" spans="1:16" hidden="1" x14ac:dyDescent="0.25">
      <c r="A683" s="8"/>
      <c r="B683" s="7"/>
      <c r="C683" s="8"/>
      <c r="D683" s="7"/>
      <c r="E683" s="8"/>
      <c r="F683" s="7"/>
      <c r="G683" s="7"/>
      <c r="H683" s="7"/>
      <c r="J683" s="7"/>
      <c r="L683" s="8"/>
      <c r="M683" s="7"/>
      <c r="N683" s="7"/>
      <c r="O683" s="7"/>
      <c r="P683" s="8" t="str">
        <f t="shared" si="11"/>
        <v/>
      </c>
    </row>
    <row r="684" spans="1:16" hidden="1" x14ac:dyDescent="0.25">
      <c r="A684" s="8"/>
      <c r="B684" s="8"/>
      <c r="C684" s="8"/>
      <c r="D684" s="8"/>
      <c r="E684" s="8"/>
      <c r="F684" s="7"/>
      <c r="G684" s="7"/>
      <c r="H684" s="7"/>
      <c r="J684" s="7"/>
      <c r="L684" s="8"/>
      <c r="M684" s="7"/>
      <c r="N684" s="7"/>
      <c r="O684" s="7"/>
      <c r="P684" s="8" t="str">
        <f t="shared" si="11"/>
        <v/>
      </c>
    </row>
    <row r="685" spans="1:16" hidden="1" x14ac:dyDescent="0.25">
      <c r="A685" s="8"/>
      <c r="B685" s="8" t="s">
        <v>894</v>
      </c>
      <c r="C685" s="8" t="s">
        <v>498</v>
      </c>
      <c r="D685" s="8" t="s">
        <v>497</v>
      </c>
      <c r="E685" s="8"/>
      <c r="F685" s="7"/>
      <c r="G685" s="7"/>
      <c r="H685" s="7"/>
      <c r="J685" s="7"/>
      <c r="L685" s="8"/>
      <c r="M685" s="7"/>
      <c r="N685" s="7"/>
      <c r="O685" s="7"/>
      <c r="P685" s="8" t="str">
        <f t="shared" si="11"/>
        <v>"@id": "",</v>
      </c>
    </row>
    <row r="686" spans="1:16" hidden="1" x14ac:dyDescent="0.25">
      <c r="A686" s="8"/>
      <c r="B686" s="8" t="s">
        <v>902</v>
      </c>
      <c r="C686" s="8" t="s">
        <v>225</v>
      </c>
      <c r="D686" s="8" t="s">
        <v>497</v>
      </c>
      <c r="E686" s="8"/>
      <c r="F686" s="7"/>
      <c r="G686" s="7"/>
      <c r="H686" s="7"/>
      <c r="J686" s="7"/>
      <c r="L686" s="8"/>
      <c r="M686" s="7"/>
      <c r="N686" s="7"/>
      <c r="O686" s="7"/>
      <c r="P686" s="8" t="str">
        <f t="shared" si="11"/>
        <v>"@type": "",</v>
      </c>
    </row>
    <row r="687" spans="1:16" hidden="1" x14ac:dyDescent="0.25">
      <c r="A687" s="8"/>
      <c r="B687" s="8"/>
      <c r="C687" s="8" t="s">
        <v>223</v>
      </c>
      <c r="D687" s="8" t="s">
        <v>492</v>
      </c>
      <c r="E687" s="8"/>
      <c r="F687" s="7"/>
      <c r="G687" s="7"/>
      <c r="H687" s="7"/>
      <c r="J687" s="7"/>
      <c r="L687" s="8"/>
      <c r="M687" s="7"/>
      <c r="N687" s="7"/>
      <c r="O687" s="7"/>
      <c r="P687" s="8" t="str">
        <f t="shared" si="11"/>
        <v>"schema:name": "",</v>
      </c>
    </row>
    <row r="688" spans="1:16" hidden="1" x14ac:dyDescent="0.25">
      <c r="A688" s="8"/>
      <c r="B688" s="8"/>
      <c r="C688" s="8" t="s">
        <v>264</v>
      </c>
      <c r="D688" s="8" t="s">
        <v>492</v>
      </c>
      <c r="E688" s="8"/>
      <c r="F688" s="7"/>
      <c r="G688" s="7"/>
      <c r="H688" s="7"/>
      <c r="J688" s="7"/>
      <c r="L688" s="8"/>
      <c r="M688" s="7"/>
      <c r="N688" s="7"/>
      <c r="O688" s="7"/>
      <c r="P688" s="8" t="str">
        <f t="shared" si="11"/>
        <v>"schema:description": "",</v>
      </c>
    </row>
    <row r="689" spans="1:16" hidden="1" x14ac:dyDescent="0.25">
      <c r="A689" s="8"/>
      <c r="B689" s="8"/>
      <c r="C689" s="8" t="s">
        <v>315</v>
      </c>
      <c r="D689" s="8" t="s">
        <v>614</v>
      </c>
      <c r="E689" s="8"/>
      <c r="F689" s="7"/>
      <c r="G689" s="7"/>
      <c r="H689" s="7"/>
      <c r="J689" s="7"/>
      <c r="L689" s="8"/>
      <c r="M689" s="7"/>
      <c r="N689" s="7"/>
      <c r="O689" s="7"/>
      <c r="P689" s="8" t="str">
        <f t="shared" si="11"/>
        <v>"qudt:quantityType": "",</v>
      </c>
    </row>
    <row r="690" spans="1:16" hidden="1" x14ac:dyDescent="0.25">
      <c r="A690" s="8"/>
      <c r="B690" s="8"/>
      <c r="C690" s="8" t="s">
        <v>628</v>
      </c>
      <c r="D690" s="8" t="s">
        <v>614</v>
      </c>
      <c r="E690" s="8"/>
      <c r="F690" s="7"/>
      <c r="G690" s="7"/>
      <c r="H690" s="7"/>
      <c r="J690" s="7"/>
      <c r="L690" s="8"/>
      <c r="M690" s="7"/>
      <c r="N690" s="7"/>
      <c r="O690" s="7"/>
      <c r="P690" s="8" t="str">
        <f t="shared" si="11"/>
        <v>"qudt:hasUnit": "",</v>
      </c>
    </row>
    <row r="691" spans="1:16" hidden="1" x14ac:dyDescent="0.25">
      <c r="A691" s="8"/>
      <c r="B691" s="8"/>
      <c r="C691" s="8" t="s">
        <v>316</v>
      </c>
      <c r="D691" s="8"/>
      <c r="E691" s="8"/>
      <c r="F691" s="7"/>
      <c r="G691" s="7"/>
      <c r="H691" s="7"/>
      <c r="J691" s="7"/>
      <c r="L691" s="8"/>
      <c r="M691" s="7"/>
      <c r="N691" s="7"/>
      <c r="O691" s="7"/>
      <c r="P691" s="8" t="str">
        <f t="shared" si="11"/>
        <v>"ex:variability": "",</v>
      </c>
    </row>
    <row r="692" spans="1:16" hidden="1" x14ac:dyDescent="0.25">
      <c r="A692" s="8"/>
      <c r="B692" s="8"/>
      <c r="C692" s="8" t="s">
        <v>617</v>
      </c>
      <c r="D692" s="8"/>
      <c r="E692" s="8"/>
      <c r="F692" s="7"/>
      <c r="G692" s="7"/>
      <c r="H692" s="7"/>
      <c r="J692" s="7"/>
      <c r="L692" s="8"/>
      <c r="M692" s="7"/>
      <c r="N692" s="7"/>
      <c r="O692" s="7"/>
      <c r="P692" s="8" t="str">
        <f t="shared" si="11"/>
        <v>"ex:describesContext": "",</v>
      </c>
    </row>
    <row r="693" spans="1:16" hidden="1" x14ac:dyDescent="0.25">
      <c r="A693" s="8"/>
      <c r="B693" s="7"/>
      <c r="C693" s="24" t="s">
        <v>611</v>
      </c>
      <c r="D693" s="24"/>
      <c r="E693" s="8"/>
      <c r="F693" s="7"/>
      <c r="G693" s="7"/>
      <c r="H693" s="7"/>
      <c r="J693" s="7"/>
      <c r="L693" s="8"/>
      <c r="M693" s="7"/>
      <c r="N693" s="7"/>
      <c r="O693" s="7"/>
      <c r="P693" s="8" t="str">
        <f t="shared" si="11"/>
        <v>"ex:setBy": "",</v>
      </c>
    </row>
    <row r="694" spans="1:16" hidden="1" x14ac:dyDescent="0.25">
      <c r="A694" s="8"/>
      <c r="B694" s="7"/>
      <c r="C694" s="8" t="s">
        <v>876</v>
      </c>
      <c r="D694" s="8"/>
      <c r="E694" s="8"/>
      <c r="F694" s="7"/>
      <c r="G694" s="7"/>
      <c r="H694" s="7"/>
      <c r="J694" s="7"/>
      <c r="L694" s="8"/>
      <c r="M694" s="7"/>
      <c r="N694" s="7"/>
      <c r="O694" s="7"/>
      <c r="P694" s="8" t="str">
        <f t="shared" si="11"/>
        <v>"ex:hasInstance": "",</v>
      </c>
    </row>
    <row r="695" spans="1:16" hidden="1" x14ac:dyDescent="0.25">
      <c r="A695" s="8"/>
      <c r="B695" s="7"/>
      <c r="C695" s="8" t="s">
        <v>897</v>
      </c>
      <c r="D695" s="8"/>
      <c r="E695" s="8"/>
      <c r="F695" s="7"/>
      <c r="G695" s="7"/>
      <c r="H695" s="7"/>
      <c r="J695" s="7"/>
      <c r="L695" s="8"/>
      <c r="M695" s="7"/>
      <c r="N695" s="7"/>
      <c r="O695" s="7"/>
      <c r="P695" s="8" t="str">
        <f t="shared" si="11"/>
        <v>"ex:hasUpperLimit": "",</v>
      </c>
    </row>
    <row r="696" spans="1:16" hidden="1" x14ac:dyDescent="0.25">
      <c r="A696" s="8"/>
      <c r="B696" s="7"/>
      <c r="C696" s="8" t="s">
        <v>898</v>
      </c>
      <c r="D696" s="8"/>
      <c r="E696" s="8"/>
      <c r="F696" s="7"/>
      <c r="G696" s="7"/>
      <c r="H696" s="7"/>
      <c r="J696" s="7"/>
      <c r="L696" s="8"/>
      <c r="M696" s="7"/>
      <c r="N696" s="7"/>
      <c r="O696" s="7"/>
      <c r="P696" s="8" t="str">
        <f t="shared" si="11"/>
        <v>"ex:hasLowerLimit": "",</v>
      </c>
    </row>
    <row r="697" spans="1:16" hidden="1" x14ac:dyDescent="0.25">
      <c r="A697" s="8"/>
      <c r="B697" s="7"/>
      <c r="C697" s="8"/>
      <c r="D697" s="8"/>
      <c r="E697" s="8"/>
      <c r="F697" s="7"/>
      <c r="G697" s="7"/>
      <c r="H697" s="7"/>
      <c r="J697" s="7"/>
      <c r="L697" s="8"/>
      <c r="M697" s="7"/>
      <c r="N697" s="7"/>
      <c r="O697" s="7"/>
      <c r="P697" s="8" t="str">
        <f t="shared" si="11"/>
        <v/>
      </c>
    </row>
    <row r="698" spans="1:16" hidden="1" x14ac:dyDescent="0.25">
      <c r="A698" s="8"/>
      <c r="B698" s="7"/>
      <c r="C698" s="8"/>
      <c r="D698" s="8"/>
      <c r="E698" s="8"/>
      <c r="F698" s="7"/>
      <c r="G698" s="7"/>
      <c r="H698" s="7"/>
      <c r="J698" s="7"/>
      <c r="L698" s="8"/>
      <c r="M698" s="7"/>
      <c r="N698" s="7"/>
      <c r="O698" s="7"/>
      <c r="P698" s="8" t="str">
        <f t="shared" si="11"/>
        <v/>
      </c>
    </row>
    <row r="699" spans="1:16" hidden="1" x14ac:dyDescent="0.25">
      <c r="A699" s="8"/>
      <c r="B699" s="7"/>
      <c r="C699" s="8"/>
      <c r="D699" s="7"/>
      <c r="E699" s="8"/>
      <c r="F699" s="7"/>
      <c r="G699" s="7"/>
      <c r="H699" s="7"/>
      <c r="J699" s="7"/>
      <c r="L699" s="8"/>
      <c r="M699" s="7"/>
      <c r="N699" s="7"/>
      <c r="O699" s="7"/>
      <c r="P699" s="8" t="str">
        <f t="shared" si="11"/>
        <v/>
      </c>
    </row>
    <row r="700" spans="1:16" hidden="1" x14ac:dyDescent="0.25">
      <c r="A700" s="8"/>
      <c r="B700" s="7"/>
      <c r="C700" s="8"/>
      <c r="D700" s="7"/>
      <c r="E700" s="8"/>
      <c r="F700" s="7"/>
      <c r="G700" s="7"/>
      <c r="H700" s="7"/>
      <c r="J700" s="7"/>
      <c r="L700" s="8"/>
      <c r="M700" s="7"/>
      <c r="N700" s="7"/>
      <c r="O700" s="7"/>
      <c r="P700" s="8" t="str">
        <f t="shared" si="11"/>
        <v/>
      </c>
    </row>
    <row r="701" spans="1:16" s="29" customFormat="1" hidden="1" x14ac:dyDescent="0.25">
      <c r="P701" s="29" t="str">
        <f t="shared" si="11"/>
        <v/>
      </c>
    </row>
    <row r="702" spans="1:16" hidden="1" x14ac:dyDescent="0.25">
      <c r="A702" s="8" t="s">
        <v>625</v>
      </c>
      <c r="B702" s="8" t="s">
        <v>608</v>
      </c>
      <c r="C702" s="8" t="s">
        <v>498</v>
      </c>
      <c r="D702" s="8" t="s">
        <v>497</v>
      </c>
      <c r="E702" s="8"/>
      <c r="F702" s="7"/>
      <c r="G702" s="7"/>
      <c r="H702" s="7"/>
      <c r="J702" s="8"/>
      <c r="L702" s="8"/>
      <c r="M702" s="7"/>
      <c r="N702" s="7"/>
      <c r="O702" s="7"/>
      <c r="P702" s="8" t="str">
        <f t="shared" si="11"/>
        <v>"@id": "",</v>
      </c>
    </row>
    <row r="703" spans="1:16" hidden="1" x14ac:dyDescent="0.25">
      <c r="A703" s="8"/>
      <c r="B703" s="8"/>
      <c r="C703" s="8" t="s">
        <v>225</v>
      </c>
      <c r="D703" s="8" t="s">
        <v>497</v>
      </c>
      <c r="E703" s="8" t="s">
        <v>887</v>
      </c>
      <c r="F703" s="7" t="s">
        <v>878</v>
      </c>
      <c r="G703" s="7"/>
      <c r="H703" s="7"/>
      <c r="J703" s="8"/>
      <c r="L703" s="8" t="s">
        <v>625</v>
      </c>
      <c r="M703" s="7"/>
      <c r="N703" s="7"/>
      <c r="O703" s="7"/>
      <c r="P703" s="8" t="str">
        <f t="shared" si="11"/>
        <v>"@type": "SpecificProcessVariable",</v>
      </c>
    </row>
    <row r="704" spans="1:16" hidden="1" x14ac:dyDescent="0.25">
      <c r="A704" s="8"/>
      <c r="B704" s="8"/>
      <c r="C704" s="8" t="s">
        <v>223</v>
      </c>
      <c r="D704" s="8" t="s">
        <v>492</v>
      </c>
      <c r="E704" s="8"/>
      <c r="F704" s="7"/>
      <c r="G704" s="7"/>
      <c r="H704" s="7"/>
      <c r="J704" s="8"/>
      <c r="L704" s="8"/>
      <c r="M704" s="7"/>
      <c r="N704" s="7"/>
      <c r="O704" s="7"/>
      <c r="P704" s="8" t="str">
        <f t="shared" si="11"/>
        <v>"schema:name": "",</v>
      </c>
    </row>
    <row r="705" spans="1:16" hidden="1" x14ac:dyDescent="0.25">
      <c r="A705" s="8"/>
      <c r="B705" s="8"/>
      <c r="C705" s="8" t="s">
        <v>264</v>
      </c>
      <c r="D705" s="8" t="s">
        <v>492</v>
      </c>
      <c r="E705" s="8"/>
      <c r="F705" s="7"/>
      <c r="G705" s="7"/>
      <c r="H705" s="7"/>
      <c r="J705" s="8"/>
      <c r="L705" s="8"/>
      <c r="M705" s="7"/>
      <c r="N705" s="7"/>
      <c r="O705" s="7"/>
      <c r="P705" s="8" t="str">
        <f t="shared" si="11"/>
        <v>"schema:description": "",</v>
      </c>
    </row>
    <row r="706" spans="1:16" hidden="1" x14ac:dyDescent="0.25">
      <c r="A706" s="8"/>
      <c r="B706" s="8"/>
      <c r="C706" s="8" t="s">
        <v>626</v>
      </c>
      <c r="D706" s="8"/>
      <c r="E706" s="8" t="s">
        <v>627</v>
      </c>
      <c r="F706" s="7"/>
      <c r="G706" s="7"/>
      <c r="H706" s="7"/>
      <c r="J706" s="8"/>
      <c r="L706" s="8"/>
      <c r="M706" s="7"/>
      <c r="N706" s="7"/>
      <c r="O706" s="7"/>
      <c r="P706" s="8" t="str">
        <f t="shared" si="11"/>
        <v>"ex:isInstanceOf": "",</v>
      </c>
    </row>
    <row r="707" spans="1:16" hidden="1" x14ac:dyDescent="0.25">
      <c r="A707" s="8"/>
      <c r="B707" s="8"/>
      <c r="C707" s="8" t="s">
        <v>629</v>
      </c>
      <c r="D707" s="8" t="s">
        <v>614</v>
      </c>
      <c r="E707" s="8"/>
      <c r="F707" s="7"/>
      <c r="G707" s="7"/>
      <c r="H707" s="7"/>
      <c r="J707" s="8"/>
      <c r="L707" s="8"/>
      <c r="M707" s="7"/>
      <c r="N707" s="7"/>
      <c r="O707" s="7"/>
      <c r="P707" s="8" t="str">
        <f t="shared" si="11"/>
        <v>"qudt:value": "",</v>
      </c>
    </row>
    <row r="708" spans="1:16" hidden="1" x14ac:dyDescent="0.25">
      <c r="A708" s="8"/>
      <c r="B708" s="8"/>
      <c r="C708" s="7" t="s">
        <v>628</v>
      </c>
      <c r="D708" s="8" t="s">
        <v>614</v>
      </c>
      <c r="E708" s="8" t="s">
        <v>843</v>
      </c>
      <c r="F708" s="7"/>
      <c r="G708" s="7"/>
      <c r="H708" s="7"/>
      <c r="J708" s="8"/>
      <c r="L708" s="8"/>
      <c r="M708" s="7"/>
      <c r="N708" s="7"/>
      <c r="O708" s="7"/>
      <c r="P708" s="8" t="str">
        <f t="shared" si="11"/>
        <v>"qudt:hasUnit": "",</v>
      </c>
    </row>
    <row r="709" spans="1:16" hidden="1" x14ac:dyDescent="0.25">
      <c r="A709" s="8"/>
      <c r="B709" s="8"/>
      <c r="C709" s="8"/>
      <c r="D709" s="8"/>
      <c r="E709" s="8"/>
      <c r="F709" s="7"/>
      <c r="G709" s="7"/>
      <c r="H709" s="7"/>
      <c r="J709" s="8"/>
      <c r="L709" s="8"/>
      <c r="M709" s="7"/>
      <c r="N709" s="7"/>
      <c r="O709" s="7"/>
      <c r="P709" s="8" t="str">
        <f t="shared" si="11"/>
        <v/>
      </c>
    </row>
    <row r="710" spans="1:16" hidden="1" x14ac:dyDescent="0.25">
      <c r="A710" s="8"/>
      <c r="B710" s="8"/>
      <c r="C710" s="8"/>
      <c r="D710" s="8"/>
      <c r="E710" s="8"/>
      <c r="F710" s="7"/>
      <c r="G710" s="7"/>
      <c r="H710" s="7"/>
      <c r="J710" s="8"/>
      <c r="L710" s="8"/>
      <c r="M710" s="7"/>
      <c r="N710" s="7"/>
      <c r="O710" s="7"/>
      <c r="P710" s="8" t="str">
        <f t="shared" si="11"/>
        <v/>
      </c>
    </row>
    <row r="711" spans="1:16" hidden="1" x14ac:dyDescent="0.25">
      <c r="A711" s="8"/>
      <c r="B711" s="8"/>
      <c r="C711" s="8"/>
      <c r="D711" s="8"/>
      <c r="E711" s="8"/>
      <c r="F711" s="7"/>
      <c r="G711" s="7"/>
      <c r="H711" s="7"/>
      <c r="J711" s="8"/>
      <c r="L711" s="8"/>
      <c r="M711" s="7"/>
      <c r="N711" s="7"/>
      <c r="O711" s="7"/>
      <c r="P711" s="8" t="str">
        <f t="shared" si="11"/>
        <v/>
      </c>
    </row>
    <row r="712" spans="1:16" hidden="1" x14ac:dyDescent="0.25">
      <c r="A712" s="8"/>
      <c r="B712" s="8" t="s">
        <v>612</v>
      </c>
      <c r="C712" s="8" t="s">
        <v>498</v>
      </c>
      <c r="D712" s="8" t="s">
        <v>497</v>
      </c>
      <c r="E712" s="8"/>
      <c r="F712" s="7"/>
      <c r="G712" s="7"/>
      <c r="H712" s="7"/>
      <c r="J712" s="8"/>
      <c r="L712" s="8"/>
      <c r="M712" s="7"/>
      <c r="N712" s="7"/>
      <c r="O712" s="7"/>
      <c r="P712" s="8" t="str">
        <f t="shared" si="11"/>
        <v>"@id": "",</v>
      </c>
    </row>
    <row r="713" spans="1:16" hidden="1" x14ac:dyDescent="0.25">
      <c r="A713" s="8"/>
      <c r="B713" s="8"/>
      <c r="C713" s="8" t="s">
        <v>225</v>
      </c>
      <c r="D713" s="8" t="s">
        <v>497</v>
      </c>
      <c r="E713" s="8" t="s">
        <v>862</v>
      </c>
      <c r="F713" s="7"/>
      <c r="G713" s="7"/>
      <c r="H713" s="7"/>
      <c r="J713" s="8"/>
      <c r="L713" s="8"/>
      <c r="M713" s="7"/>
      <c r="N713" s="7"/>
      <c r="O713" s="7"/>
      <c r="P713" s="8" t="str">
        <f t="shared" si="11"/>
        <v>"@type": "",</v>
      </c>
    </row>
    <row r="714" spans="1:16" hidden="1" x14ac:dyDescent="0.25">
      <c r="A714" s="8"/>
      <c r="B714" s="8"/>
      <c r="C714" s="8" t="s">
        <v>223</v>
      </c>
      <c r="D714" s="8" t="s">
        <v>492</v>
      </c>
      <c r="E714" s="8"/>
      <c r="F714" s="7"/>
      <c r="G714" s="7"/>
      <c r="H714" s="7"/>
      <c r="J714" s="8"/>
      <c r="L714" s="8"/>
      <c r="M714" s="7"/>
      <c r="N714" s="7"/>
      <c r="O714" s="7"/>
      <c r="P714" s="8" t="str">
        <f t="shared" si="11"/>
        <v>"schema:name": "",</v>
      </c>
    </row>
    <row r="715" spans="1:16" hidden="1" x14ac:dyDescent="0.25">
      <c r="A715" s="8"/>
      <c r="B715" s="8"/>
      <c r="C715" s="8" t="s">
        <v>264</v>
      </c>
      <c r="D715" s="8" t="s">
        <v>492</v>
      </c>
      <c r="E715" s="8"/>
      <c r="F715" s="7"/>
      <c r="G715" s="7"/>
      <c r="H715" s="7"/>
      <c r="J715" s="8"/>
      <c r="L715" s="8"/>
      <c r="M715" s="7"/>
      <c r="N715" s="7"/>
      <c r="O715" s="7"/>
      <c r="P715" s="8" t="str">
        <f t="shared" si="11"/>
        <v>"schema:description": "",</v>
      </c>
    </row>
    <row r="716" spans="1:16" hidden="1" x14ac:dyDescent="0.25">
      <c r="A716" s="8"/>
      <c r="B716" s="8"/>
      <c r="C716" s="8" t="s">
        <v>626</v>
      </c>
      <c r="D716" s="8"/>
      <c r="E716" s="8" t="s">
        <v>627</v>
      </c>
      <c r="F716" s="7"/>
      <c r="G716" s="7"/>
      <c r="H716" s="7"/>
      <c r="J716" s="8"/>
      <c r="L716" s="8"/>
      <c r="M716" s="7"/>
      <c r="N716" s="7"/>
      <c r="O716" s="7"/>
      <c r="P716" s="8" t="str">
        <f t="shared" si="11"/>
        <v>"ex:isInstanceOf": "",</v>
      </c>
    </row>
    <row r="717" spans="1:16" hidden="1" x14ac:dyDescent="0.25">
      <c r="A717" s="8"/>
      <c r="B717" s="8"/>
      <c r="C717" s="8" t="s">
        <v>879</v>
      </c>
      <c r="D717" s="8"/>
      <c r="E717" s="8" t="s">
        <v>880</v>
      </c>
      <c r="F717" s="7"/>
      <c r="G717" s="7"/>
      <c r="H717" s="7"/>
      <c r="J717" s="8"/>
      <c r="L717" s="8"/>
      <c r="M717" s="7"/>
      <c r="N717" s="7"/>
      <c r="O717" s="7"/>
      <c r="P717" s="8" t="str">
        <f t="shared" si="11"/>
        <v>"ex:recordedIn": "",</v>
      </c>
    </row>
    <row r="718" spans="1:16" hidden="1" x14ac:dyDescent="0.25">
      <c r="A718" s="8"/>
      <c r="B718" s="8"/>
      <c r="C718" s="7" t="s">
        <v>628</v>
      </c>
      <c r="D718" s="8" t="s">
        <v>614</v>
      </c>
      <c r="E718" s="8" t="s">
        <v>843</v>
      </c>
      <c r="F718" s="7"/>
      <c r="G718" s="7"/>
      <c r="H718" s="7"/>
      <c r="J718" s="8"/>
      <c r="L718" s="8"/>
      <c r="M718" s="7"/>
      <c r="N718" s="7"/>
      <c r="O718" s="7"/>
      <c r="P718" s="8" t="str">
        <f t="shared" si="11"/>
        <v>"qudt:hasUnit": "",</v>
      </c>
    </row>
    <row r="719" spans="1:16" hidden="1" x14ac:dyDescent="0.25">
      <c r="A719" s="8"/>
      <c r="B719" s="8"/>
      <c r="C719" s="7" t="s">
        <v>881</v>
      </c>
      <c r="D719" s="8"/>
      <c r="E719" s="8" t="s">
        <v>882</v>
      </c>
      <c r="F719" s="7" t="s">
        <v>883</v>
      </c>
      <c r="G719" s="7"/>
      <c r="H719" s="7"/>
      <c r="J719" s="8"/>
      <c r="L719" s="8"/>
      <c r="M719" s="7"/>
      <c r="N719" s="7"/>
      <c r="O719" s="7"/>
      <c r="P719" s="8" t="str">
        <f t="shared" si="11"/>
        <v>"ex:recodedBy": "",</v>
      </c>
    </row>
    <row r="720" spans="1:16" hidden="1" x14ac:dyDescent="0.25">
      <c r="P720" s="8" t="str">
        <f t="shared" si="11"/>
        <v/>
      </c>
    </row>
    <row r="721" spans="1:16" s="10" customFormat="1" x14ac:dyDescent="0.25">
      <c r="P721" s="20" t="str">
        <f t="shared" si="11"/>
        <v/>
      </c>
    </row>
    <row r="722" spans="1:16" x14ac:dyDescent="0.25">
      <c r="A722" t="s">
        <v>1120</v>
      </c>
      <c r="B722" t="s">
        <v>1144</v>
      </c>
      <c r="C722" t="s">
        <v>498</v>
      </c>
      <c r="D722" t="s">
        <v>497</v>
      </c>
      <c r="G722" t="s">
        <v>1270</v>
      </c>
      <c r="H722" t="s">
        <v>629</v>
      </c>
      <c r="K722" t="s">
        <v>1091</v>
      </c>
      <c r="P722" s="8" t="str">
        <f t="shared" si="11"/>
        <v>"@id": "",</v>
      </c>
    </row>
    <row r="723" spans="1:16" x14ac:dyDescent="0.25">
      <c r="C723" t="s">
        <v>225</v>
      </c>
      <c r="D723" t="s">
        <v>497</v>
      </c>
      <c r="G723" t="s">
        <v>1270</v>
      </c>
      <c r="H723" t="s">
        <v>629</v>
      </c>
      <c r="K723" t="s">
        <v>1091</v>
      </c>
      <c r="L723" t="s">
        <v>1164</v>
      </c>
      <c r="P723" s="8"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223</v>
      </c>
      <c r="D724" t="s">
        <v>492</v>
      </c>
      <c r="G724" t="s">
        <v>1270</v>
      </c>
      <c r="H724" t="s">
        <v>629</v>
      </c>
      <c r="K724" t="s">
        <v>1091</v>
      </c>
      <c r="P724" s="8" t="str">
        <f t="shared" si="12"/>
        <v>"schema:name": "",</v>
      </c>
    </row>
    <row r="725" spans="1:16" x14ac:dyDescent="0.25">
      <c r="C725" t="s">
        <v>264</v>
      </c>
      <c r="D725" t="s">
        <v>492</v>
      </c>
      <c r="G725" t="s">
        <v>1270</v>
      </c>
      <c r="H725" t="s">
        <v>629</v>
      </c>
      <c r="K725" t="s">
        <v>1092</v>
      </c>
      <c r="P725" s="8" t="str">
        <f t="shared" si="12"/>
        <v>"schema:description": "",</v>
      </c>
    </row>
    <row r="726" spans="1:16" x14ac:dyDescent="0.25">
      <c r="C726" t="s">
        <v>617</v>
      </c>
      <c r="G726" t="s">
        <v>1270</v>
      </c>
      <c r="H726" t="s">
        <v>229</v>
      </c>
      <c r="I726" t="s">
        <v>1273</v>
      </c>
      <c r="P726" s="8" t="str">
        <f t="shared" si="12"/>
        <v>"ex:describesContext": 
[
{
"@id": "#"
},
{
"@id": "#"
}
],</v>
      </c>
    </row>
    <row r="727" spans="1:16" x14ac:dyDescent="0.25">
      <c r="C727" t="s">
        <v>781</v>
      </c>
      <c r="G727" t="s">
        <v>1123</v>
      </c>
      <c r="H727" t="s">
        <v>1276</v>
      </c>
      <c r="I727" t="s">
        <v>1275</v>
      </c>
      <c r="M727" t="s">
        <v>1278</v>
      </c>
      <c r="P727" s="8" t="str">
        <f t="shared" si="12"/>
        <v>"ex:quantityKind": "",</v>
      </c>
    </row>
    <row r="728" spans="1:16" x14ac:dyDescent="0.25">
      <c r="C728" t="s">
        <v>628</v>
      </c>
      <c r="G728" t="s">
        <v>1123</v>
      </c>
      <c r="H728" t="s">
        <v>1276</v>
      </c>
      <c r="I728" t="s">
        <v>1277</v>
      </c>
      <c r="M728" t="s">
        <v>230</v>
      </c>
      <c r="P728" s="8" t="str">
        <f t="shared" si="12"/>
        <v>"ex:hasUnit": "",</v>
      </c>
    </row>
    <row r="729" spans="1:16" x14ac:dyDescent="0.25">
      <c r="C729" t="s">
        <v>629</v>
      </c>
      <c r="G729" t="s">
        <v>1121</v>
      </c>
      <c r="H729" t="s">
        <v>629</v>
      </c>
      <c r="P729" s="8" t="str">
        <f t="shared" si="12"/>
        <v>"ex:value": "",</v>
      </c>
    </row>
    <row r="730" spans="1:16" x14ac:dyDescent="0.25">
      <c r="C730" t="s">
        <v>839</v>
      </c>
      <c r="G730" t="s">
        <v>1279</v>
      </c>
      <c r="H730" t="s">
        <v>229</v>
      </c>
      <c r="I730" t="s">
        <v>1164</v>
      </c>
      <c r="P730" s="8" t="str">
        <f t="shared" si="12"/>
        <v>"ex:hasInstances": 
[
{
"@id": "#"
},
{
"@id": "#"
}
],</v>
      </c>
    </row>
    <row r="731" spans="1:16" x14ac:dyDescent="0.25">
      <c r="C731" t="s">
        <v>626</v>
      </c>
      <c r="G731" t="s">
        <v>1109</v>
      </c>
      <c r="H731" t="s">
        <v>1077</v>
      </c>
      <c r="I731" t="s">
        <v>1164</v>
      </c>
      <c r="P731" s="8" t="str">
        <f t="shared" si="12"/>
        <v>"ex:isInstanceOf": 
{
"@id": "#"
}</v>
      </c>
    </row>
    <row r="732" spans="1:16" x14ac:dyDescent="0.25">
      <c r="C732" t="s">
        <v>1485</v>
      </c>
      <c r="E732" t="s">
        <v>1487</v>
      </c>
      <c r="G732" t="s">
        <v>1123</v>
      </c>
      <c r="H732" t="s">
        <v>1276</v>
      </c>
      <c r="P732" s="8" t="str">
        <f t="shared" si="12"/>
        <v>"ex:hasProvencanceType": "",</v>
      </c>
    </row>
    <row r="733" spans="1:16" x14ac:dyDescent="0.25">
      <c r="C733" t="s">
        <v>1486</v>
      </c>
      <c r="E733" t="s">
        <v>1488</v>
      </c>
      <c r="F733" t="s">
        <v>1258</v>
      </c>
      <c r="G733" t="s">
        <v>1131</v>
      </c>
      <c r="H733" t="s">
        <v>1077</v>
      </c>
      <c r="I733" t="s">
        <v>1280</v>
      </c>
      <c r="P733" s="8" t="str">
        <f t="shared" si="12"/>
        <v>"ex:hasProvenance": 
{
"@id": "#"
}</v>
      </c>
    </row>
    <row r="734" spans="1:16" x14ac:dyDescent="0.25">
      <c r="P734" s="8" t="str">
        <f t="shared" si="12"/>
        <v/>
      </c>
    </row>
    <row r="735" spans="1:16" x14ac:dyDescent="0.25">
      <c r="P735" s="8" t="str">
        <f t="shared" si="12"/>
        <v/>
      </c>
    </row>
    <row r="736" spans="1:16" x14ac:dyDescent="0.25">
      <c r="P736" s="8" t="str">
        <f t="shared" si="12"/>
        <v/>
      </c>
    </row>
    <row r="737" spans="2:16" x14ac:dyDescent="0.25">
      <c r="P737" s="8" t="str">
        <f t="shared" si="12"/>
        <v/>
      </c>
    </row>
    <row r="738" spans="2:16" x14ac:dyDescent="0.25">
      <c r="P738" s="8" t="str">
        <f t="shared" si="12"/>
        <v/>
      </c>
    </row>
    <row r="739" spans="2:16" x14ac:dyDescent="0.25">
      <c r="B739" t="s">
        <v>1124</v>
      </c>
      <c r="C739" t="s">
        <v>498</v>
      </c>
      <c r="D739" t="s">
        <v>497</v>
      </c>
      <c r="F739" t="s">
        <v>1158</v>
      </c>
      <c r="G739" t="s">
        <v>1270</v>
      </c>
      <c r="H739" t="s">
        <v>629</v>
      </c>
      <c r="K739" t="s">
        <v>1091</v>
      </c>
      <c r="P739" s="8" t="str">
        <f t="shared" si="12"/>
        <v>"@id": "",</v>
      </c>
    </row>
    <row r="740" spans="2:16" x14ac:dyDescent="0.25">
      <c r="C740" t="s">
        <v>225</v>
      </c>
      <c r="D740" t="s">
        <v>497</v>
      </c>
      <c r="F740" t="s">
        <v>1159</v>
      </c>
      <c r="G740" t="s">
        <v>1270</v>
      </c>
      <c r="H740" t="s">
        <v>629</v>
      </c>
      <c r="K740" t="s">
        <v>1091</v>
      </c>
      <c r="L740" t="s">
        <v>1163</v>
      </c>
      <c r="P740" s="8" t="str">
        <f t="shared" si="12"/>
        <v>"@type": "ProfileVariable",</v>
      </c>
    </row>
    <row r="741" spans="2:16" x14ac:dyDescent="0.25">
      <c r="C741" t="s">
        <v>223</v>
      </c>
      <c r="D741" t="s">
        <v>492</v>
      </c>
      <c r="G741" t="s">
        <v>1270</v>
      </c>
      <c r="H741" t="s">
        <v>629</v>
      </c>
      <c r="K741" t="s">
        <v>1091</v>
      </c>
      <c r="P741" s="8" t="str">
        <f t="shared" si="12"/>
        <v>"schema:name": "",</v>
      </c>
    </row>
    <row r="742" spans="2:16" x14ac:dyDescent="0.25">
      <c r="C742" t="s">
        <v>264</v>
      </c>
      <c r="D742" t="s">
        <v>492</v>
      </c>
      <c r="G742" t="s">
        <v>1270</v>
      </c>
      <c r="H742" t="s">
        <v>629</v>
      </c>
      <c r="K742" t="s">
        <v>1092</v>
      </c>
      <c r="P742" s="8" t="str">
        <f t="shared" si="12"/>
        <v>"schema:description": "",</v>
      </c>
    </row>
    <row r="743" spans="2:16" x14ac:dyDescent="0.25">
      <c r="C743" t="s">
        <v>617</v>
      </c>
      <c r="G743" t="s">
        <v>1270</v>
      </c>
      <c r="H743" t="s">
        <v>229</v>
      </c>
      <c r="I743" t="s">
        <v>1273</v>
      </c>
      <c r="P743" s="8" t="str">
        <f t="shared" si="12"/>
        <v>"ex:describesContext": 
[
{
"@id": "#"
},
{
"@id": "#"
}
],</v>
      </c>
    </row>
    <row r="744" spans="2:16" x14ac:dyDescent="0.25">
      <c r="C744" t="s">
        <v>781</v>
      </c>
      <c r="G744" t="s">
        <v>1123</v>
      </c>
      <c r="H744" t="s">
        <v>1276</v>
      </c>
      <c r="I744" t="s">
        <v>1275</v>
      </c>
      <c r="M744" t="s">
        <v>1278</v>
      </c>
      <c r="P744" s="8" t="str">
        <f t="shared" si="12"/>
        <v>"ex:quantityKind": "",</v>
      </c>
    </row>
    <row r="745" spans="2:16" x14ac:dyDescent="0.25">
      <c r="C745" t="s">
        <v>628</v>
      </c>
      <c r="G745" t="s">
        <v>1123</v>
      </c>
      <c r="H745" t="s">
        <v>1276</v>
      </c>
      <c r="I745" t="s">
        <v>1277</v>
      </c>
      <c r="M745" t="s">
        <v>230</v>
      </c>
      <c r="P745" s="8" t="str">
        <f t="shared" si="12"/>
        <v>"ex:hasUnit": "",</v>
      </c>
    </row>
    <row r="746" spans="2:16" x14ac:dyDescent="0.25">
      <c r="C746" t="s">
        <v>11</v>
      </c>
      <c r="D746" t="s">
        <v>492</v>
      </c>
      <c r="F746" t="s">
        <v>1126</v>
      </c>
      <c r="G746" t="s">
        <v>1125</v>
      </c>
      <c r="H746" t="s">
        <v>368</v>
      </c>
      <c r="I746" t="s">
        <v>1150</v>
      </c>
      <c r="P746" s="8" t="str">
        <f t="shared" si="12"/>
        <v>"schema:hasPart": 
[
{
"@id": "#"
},
{
"@id": "#"
}
],</v>
      </c>
    </row>
    <row r="747" spans="2:16" x14ac:dyDescent="0.25">
      <c r="C747" t="s">
        <v>839</v>
      </c>
      <c r="G747" t="s">
        <v>1128</v>
      </c>
      <c r="H747" t="s">
        <v>229</v>
      </c>
      <c r="I747" t="s">
        <v>1163</v>
      </c>
      <c r="P747" s="8" t="str">
        <f t="shared" si="12"/>
        <v>"ex:hasInstances": 
[
{
"@id": "#"
},
{
"@id": "#"
}
],</v>
      </c>
    </row>
    <row r="748" spans="2:16" x14ac:dyDescent="0.25">
      <c r="C748" t="s">
        <v>626</v>
      </c>
      <c r="G748" t="s">
        <v>1127</v>
      </c>
      <c r="H748" t="s">
        <v>1098</v>
      </c>
      <c r="I748" t="s">
        <v>1163</v>
      </c>
      <c r="P748" s="8" t="str">
        <f t="shared" si="12"/>
        <v>"ex:isInstanceOf": 
{
"@id": "#"
}</v>
      </c>
    </row>
    <row r="749" spans="2:16" x14ac:dyDescent="0.25">
      <c r="C749" t="s">
        <v>1485</v>
      </c>
      <c r="E749" t="s">
        <v>1487</v>
      </c>
      <c r="F749" t="s">
        <v>1129</v>
      </c>
      <c r="G749" t="s">
        <v>1123</v>
      </c>
      <c r="H749" t="s">
        <v>1281</v>
      </c>
      <c r="P749" s="8" t="str">
        <f t="shared" si="12"/>
        <v>"ex:hasProvencanceType": "",</v>
      </c>
    </row>
    <row r="750" spans="2:16" x14ac:dyDescent="0.25">
      <c r="C750" t="s">
        <v>1486</v>
      </c>
      <c r="E750" t="s">
        <v>1132</v>
      </c>
      <c r="F750" t="s">
        <v>1283</v>
      </c>
      <c r="G750" t="s">
        <v>1131</v>
      </c>
      <c r="H750" t="s">
        <v>1077</v>
      </c>
      <c r="I750" t="s">
        <v>1282</v>
      </c>
      <c r="P750" s="8" t="str">
        <f t="shared" si="12"/>
        <v>"ex:hasProvenance": 
{
"@id": "#"
}</v>
      </c>
    </row>
    <row r="751" spans="2:16" x14ac:dyDescent="0.25">
      <c r="P751" s="8" t="str">
        <f t="shared" si="12"/>
        <v/>
      </c>
    </row>
    <row r="752" spans="2:16" s="1" customFormat="1" x14ac:dyDescent="0.25">
      <c r="P752" s="8" t="str">
        <f t="shared" si="12"/>
        <v/>
      </c>
    </row>
    <row r="753" spans="2:16" x14ac:dyDescent="0.25">
      <c r="P753" s="8" t="str">
        <f t="shared" si="12"/>
        <v/>
      </c>
    </row>
    <row r="754" spans="2:16" x14ac:dyDescent="0.25">
      <c r="P754" s="8" t="str">
        <f t="shared" si="12"/>
        <v/>
      </c>
    </row>
    <row r="755" spans="2:16" x14ac:dyDescent="0.25">
      <c r="B755" t="s">
        <v>1165</v>
      </c>
      <c r="C755" t="s">
        <v>498</v>
      </c>
      <c r="D755" t="s">
        <v>497</v>
      </c>
      <c r="G755" t="s">
        <v>1270</v>
      </c>
      <c r="H755" t="s">
        <v>629</v>
      </c>
      <c r="K755" t="s">
        <v>1091</v>
      </c>
      <c r="P755" s="8" t="str">
        <f t="shared" si="12"/>
        <v>"@id": "",</v>
      </c>
    </row>
    <row r="756" spans="2:16" x14ac:dyDescent="0.25">
      <c r="C756" t="s">
        <v>225</v>
      </c>
      <c r="D756" t="s">
        <v>497</v>
      </c>
      <c r="G756" t="s">
        <v>1270</v>
      </c>
      <c r="H756" t="s">
        <v>629</v>
      </c>
      <c r="K756" t="s">
        <v>1091</v>
      </c>
      <c r="L756" t="s">
        <v>1166</v>
      </c>
      <c r="P756" s="8" t="str">
        <f t="shared" si="12"/>
        <v>"@type": "SeriesVariable",</v>
      </c>
    </row>
    <row r="757" spans="2:16" x14ac:dyDescent="0.25">
      <c r="C757" t="s">
        <v>223</v>
      </c>
      <c r="D757" t="s">
        <v>492</v>
      </c>
      <c r="G757" t="s">
        <v>1270</v>
      </c>
      <c r="H757" t="s">
        <v>629</v>
      </c>
      <c r="K757" t="s">
        <v>1091</v>
      </c>
      <c r="P757" s="8" t="str">
        <f t="shared" si="12"/>
        <v>"schema:name": "",</v>
      </c>
    </row>
    <row r="758" spans="2:16" x14ac:dyDescent="0.25">
      <c r="C758" t="s">
        <v>264</v>
      </c>
      <c r="D758" t="s">
        <v>492</v>
      </c>
      <c r="G758" t="s">
        <v>1270</v>
      </c>
      <c r="H758" t="s">
        <v>629</v>
      </c>
      <c r="K758" t="s">
        <v>1092</v>
      </c>
      <c r="P758" s="8" t="str">
        <f t="shared" si="12"/>
        <v>"schema:description": "",</v>
      </c>
    </row>
    <row r="759" spans="2:16" x14ac:dyDescent="0.25">
      <c r="C759" t="s">
        <v>617</v>
      </c>
      <c r="G759" t="s">
        <v>1270</v>
      </c>
      <c r="H759" t="s">
        <v>229</v>
      </c>
      <c r="I759" t="s">
        <v>1273</v>
      </c>
      <c r="P759" s="8" t="str">
        <f t="shared" si="12"/>
        <v>"ex:describesContext": 
[
{
"@id": "#"
},
{
"@id": "#"
}
],</v>
      </c>
    </row>
    <row r="760" spans="2:16" x14ac:dyDescent="0.25">
      <c r="C760" t="s">
        <v>781</v>
      </c>
      <c r="G760" t="s">
        <v>1123</v>
      </c>
      <c r="H760" t="s">
        <v>1276</v>
      </c>
      <c r="I760" t="s">
        <v>1275</v>
      </c>
      <c r="M760" t="s">
        <v>1278</v>
      </c>
      <c r="P760" s="8" t="str">
        <f t="shared" si="12"/>
        <v>"ex:quantityKind": "",</v>
      </c>
    </row>
    <row r="761" spans="2:16" x14ac:dyDescent="0.25">
      <c r="C761" t="s">
        <v>628</v>
      </c>
      <c r="G761" t="s">
        <v>1123</v>
      </c>
      <c r="H761" t="s">
        <v>1276</v>
      </c>
      <c r="I761" t="s">
        <v>1277</v>
      </c>
      <c r="M761" t="s">
        <v>230</v>
      </c>
      <c r="P761" s="8" t="str">
        <f t="shared" si="12"/>
        <v>"ex:hasUnit": "",</v>
      </c>
    </row>
    <row r="762" spans="2:16" x14ac:dyDescent="0.25">
      <c r="C762" t="s">
        <v>1145</v>
      </c>
      <c r="E762" s="8" t="s">
        <v>1146</v>
      </c>
      <c r="F762" t="s">
        <v>1489</v>
      </c>
      <c r="G762" t="s">
        <v>1131</v>
      </c>
      <c r="P762" s="8" t="str">
        <f t="shared" si="12"/>
        <v>"ex:hasDataReference": "",</v>
      </c>
    </row>
    <row r="763" spans="2:16" x14ac:dyDescent="0.25">
      <c r="C763" t="s">
        <v>839</v>
      </c>
      <c r="G763" t="s">
        <v>1108</v>
      </c>
      <c r="P763" s="8" t="str">
        <f t="shared" si="12"/>
        <v>"ex:hasInstances": "",</v>
      </c>
    </row>
    <row r="764" spans="2:16" x14ac:dyDescent="0.25">
      <c r="C764" t="s">
        <v>626</v>
      </c>
      <c r="G764" t="s">
        <v>1109</v>
      </c>
      <c r="P764" s="8" t="str">
        <f t="shared" si="12"/>
        <v>"ex:isInstanceOf": "",</v>
      </c>
    </row>
    <row r="765" spans="2:16" x14ac:dyDescent="0.25">
      <c r="C765" t="s">
        <v>1485</v>
      </c>
      <c r="E765" t="s">
        <v>1133</v>
      </c>
      <c r="F765" t="s">
        <v>1259</v>
      </c>
      <c r="G765" t="s">
        <v>1123</v>
      </c>
      <c r="H765" t="s">
        <v>1281</v>
      </c>
      <c r="P765" s="8" t="str">
        <f t="shared" si="12"/>
        <v>"ex:hasProvencanceType": "",</v>
      </c>
    </row>
    <row r="766" spans="2:16" x14ac:dyDescent="0.25">
      <c r="C766" t="s">
        <v>1486</v>
      </c>
      <c r="G766" t="s">
        <v>1131</v>
      </c>
      <c r="H766" t="s">
        <v>1077</v>
      </c>
      <c r="I766" t="s">
        <v>1282</v>
      </c>
      <c r="P766" s="8" t="str">
        <f t="shared" si="12"/>
        <v>"ex:hasProvenance": 
{
"@id": "#"
}</v>
      </c>
    </row>
    <row r="767" spans="2:16" x14ac:dyDescent="0.25">
      <c r="P767" s="8" t="str">
        <f t="shared" si="12"/>
        <v/>
      </c>
    </row>
    <row r="768" spans="2:16" x14ac:dyDescent="0.25">
      <c r="P768" s="8" t="str">
        <f t="shared" si="12"/>
        <v/>
      </c>
    </row>
    <row r="769" spans="1:16" x14ac:dyDescent="0.25">
      <c r="P769" s="8" t="str">
        <f t="shared" si="12"/>
        <v/>
      </c>
    </row>
    <row r="770" spans="1:16" x14ac:dyDescent="0.25">
      <c r="P770" s="8" t="str">
        <f t="shared" si="12"/>
        <v/>
      </c>
    </row>
    <row r="771" spans="1:16" x14ac:dyDescent="0.25">
      <c r="A771" s="6" t="s">
        <v>1490</v>
      </c>
      <c r="B771" t="s">
        <v>590</v>
      </c>
      <c r="C771" t="s">
        <v>498</v>
      </c>
      <c r="D771" t="s">
        <v>497</v>
      </c>
      <c r="G771" t="s">
        <v>1270</v>
      </c>
      <c r="H771" t="s">
        <v>629</v>
      </c>
      <c r="K771" t="s">
        <v>1091</v>
      </c>
      <c r="P771" s="8" t="str">
        <f t="shared" si="12"/>
        <v>"@id": "",</v>
      </c>
    </row>
    <row r="772" spans="1:16" x14ac:dyDescent="0.25">
      <c r="C772" t="s">
        <v>225</v>
      </c>
      <c r="D772" t="s">
        <v>497</v>
      </c>
      <c r="E772" t="s">
        <v>1494</v>
      </c>
      <c r="G772" t="s">
        <v>1270</v>
      </c>
      <c r="H772" t="s">
        <v>629</v>
      </c>
      <c r="K772" t="s">
        <v>1091</v>
      </c>
      <c r="L772" t="s">
        <v>357</v>
      </c>
      <c r="P772" s="8" t="str">
        <f t="shared" si="12"/>
        <v>"@type": "ProcessVariable",</v>
      </c>
    </row>
    <row r="773" spans="1:16" x14ac:dyDescent="0.25">
      <c r="C773" t="s">
        <v>223</v>
      </c>
      <c r="D773" t="s">
        <v>492</v>
      </c>
      <c r="G773" t="s">
        <v>1270</v>
      </c>
      <c r="H773" t="s">
        <v>629</v>
      </c>
      <c r="K773" t="s">
        <v>1091</v>
      </c>
      <c r="P773" s="8" t="str">
        <f t="shared" si="12"/>
        <v>"schema:name": "",</v>
      </c>
    </row>
    <row r="774" spans="1:16" x14ac:dyDescent="0.25">
      <c r="C774" t="s">
        <v>264</v>
      </c>
      <c r="D774" t="s">
        <v>492</v>
      </c>
      <c r="G774" t="s">
        <v>1270</v>
      </c>
      <c r="H774" t="s">
        <v>629</v>
      </c>
      <c r="K774" t="s">
        <v>1092</v>
      </c>
      <c r="P774" s="8" t="str">
        <f t="shared" si="12"/>
        <v>"schema:description": "",</v>
      </c>
    </row>
    <row r="775" spans="1:16" x14ac:dyDescent="0.25">
      <c r="C775" t="s">
        <v>617</v>
      </c>
      <c r="G775" t="s">
        <v>1270</v>
      </c>
      <c r="H775" t="s">
        <v>229</v>
      </c>
      <c r="I775" t="s">
        <v>1273</v>
      </c>
      <c r="P775" s="8" t="str">
        <f t="shared" si="12"/>
        <v>"ex:describesContext": 
[
{
"@id": "#"
},
{
"@id": "#"
}
],</v>
      </c>
    </row>
    <row r="776" spans="1:16" x14ac:dyDescent="0.25">
      <c r="C776" t="s">
        <v>781</v>
      </c>
      <c r="D776" t="s">
        <v>614</v>
      </c>
      <c r="G776" t="s">
        <v>1123</v>
      </c>
      <c r="H776" t="s">
        <v>1276</v>
      </c>
      <c r="I776" t="s">
        <v>1275</v>
      </c>
      <c r="M776" t="s">
        <v>1278</v>
      </c>
      <c r="P776" s="8" t="str">
        <f t="shared" si="12"/>
        <v>"qudt:quantityKind": "",</v>
      </c>
    </row>
    <row r="777" spans="1:16" x14ac:dyDescent="0.25">
      <c r="C777" t="s">
        <v>628</v>
      </c>
      <c r="D777" t="s">
        <v>614</v>
      </c>
      <c r="G777" t="s">
        <v>1123</v>
      </c>
      <c r="H777" t="s">
        <v>1276</v>
      </c>
      <c r="I777" t="s">
        <v>1277</v>
      </c>
      <c r="M777" t="s">
        <v>230</v>
      </c>
      <c r="P777" s="8" t="str">
        <f t="shared" si="12"/>
        <v>"qudt:hasUnit": "",</v>
      </c>
    </row>
    <row r="778" spans="1:16" x14ac:dyDescent="0.25">
      <c r="C778" t="s">
        <v>1485</v>
      </c>
      <c r="E778" t="s">
        <v>1487</v>
      </c>
      <c r="G778" t="s">
        <v>1123</v>
      </c>
      <c r="H778" t="s">
        <v>1276</v>
      </c>
      <c r="P778" s="8" t="str">
        <f t="shared" si="12"/>
        <v>"ex:hasProvencanceType": "",</v>
      </c>
    </row>
    <row r="779" spans="1:16" x14ac:dyDescent="0.25">
      <c r="C779" t="s">
        <v>1486</v>
      </c>
      <c r="E779" t="s">
        <v>1488</v>
      </c>
      <c r="F779" t="s">
        <v>1495</v>
      </c>
      <c r="G779" t="s">
        <v>1131</v>
      </c>
      <c r="H779" t="s">
        <v>1077</v>
      </c>
      <c r="I779" t="s">
        <v>1280</v>
      </c>
      <c r="K779" t="s">
        <v>1092</v>
      </c>
      <c r="P779" s="8" t="str">
        <f t="shared" si="12"/>
        <v>"ex:hasProvenance": 
{
"@id": "#"
}</v>
      </c>
    </row>
    <row r="780" spans="1:16" x14ac:dyDescent="0.25">
      <c r="C780" s="10" t="s">
        <v>629</v>
      </c>
      <c r="D780" s="10" t="s">
        <v>738</v>
      </c>
      <c r="E780" s="10" t="s">
        <v>1493</v>
      </c>
      <c r="G780" t="s">
        <v>1109</v>
      </c>
      <c r="H780" t="s">
        <v>629</v>
      </c>
      <c r="K780" t="s">
        <v>1091</v>
      </c>
      <c r="P780" s="8" t="str">
        <f t="shared" si="12"/>
        <v>"rdf:value": "",</v>
      </c>
    </row>
    <row r="781" spans="1:16" x14ac:dyDescent="0.25">
      <c r="C781" s="10" t="s">
        <v>11</v>
      </c>
      <c r="D781" s="10" t="s">
        <v>492</v>
      </c>
      <c r="E781" s="10" t="s">
        <v>1491</v>
      </c>
      <c r="F781" t="s">
        <v>1126</v>
      </c>
      <c r="G781" t="s">
        <v>1109</v>
      </c>
      <c r="H781" t="s">
        <v>368</v>
      </c>
      <c r="I781" t="s">
        <v>1150</v>
      </c>
      <c r="K781" t="s">
        <v>1091</v>
      </c>
      <c r="P781" s="8" t="str">
        <f t="shared" si="12"/>
        <v>"schema:hasPart": 
[
{
"@id": "#"
},
{
"@id": "#"
}
],</v>
      </c>
    </row>
    <row r="782" spans="1:16" x14ac:dyDescent="0.25">
      <c r="C782" s="10" t="s">
        <v>1145</v>
      </c>
      <c r="D782" s="10"/>
      <c r="E782" s="10" t="s">
        <v>1492</v>
      </c>
      <c r="F782" s="8" t="s">
        <v>1146</v>
      </c>
      <c r="G782" t="s">
        <v>1109</v>
      </c>
      <c r="H782" t="s">
        <v>1077</v>
      </c>
      <c r="I782" t="s">
        <v>1262</v>
      </c>
      <c r="K782" t="s">
        <v>1091</v>
      </c>
      <c r="P782" s="8" t="str">
        <f t="shared" si="12"/>
        <v>"ex:hasDataReference": 
{
"@id": "#"
}</v>
      </c>
    </row>
    <row r="783" spans="1:16" x14ac:dyDescent="0.25">
      <c r="C783" t="s">
        <v>839</v>
      </c>
      <c r="G783" t="s">
        <v>1279</v>
      </c>
      <c r="H783" t="s">
        <v>229</v>
      </c>
      <c r="I783" t="s">
        <v>1164</v>
      </c>
      <c r="P783" s="8" t="str">
        <f t="shared" si="12"/>
        <v>"ex:hasInstances": 
[
{
"@id": "#"
},
{
"@id": "#"
}
],</v>
      </c>
    </row>
    <row r="784" spans="1:16" x14ac:dyDescent="0.25">
      <c r="C784" t="s">
        <v>626</v>
      </c>
      <c r="G784" t="s">
        <v>1109</v>
      </c>
      <c r="H784" t="s">
        <v>1077</v>
      </c>
      <c r="I784" t="s">
        <v>1164</v>
      </c>
      <c r="P784" s="8" t="str">
        <f t="shared" si="12"/>
        <v>"ex:isInstanceOf": 
{
"@id": "#"
}</v>
      </c>
    </row>
    <row r="785" spans="1:16" x14ac:dyDescent="0.25">
      <c r="P785" s="8" t="str">
        <f t="shared" si="12"/>
        <v/>
      </c>
    </row>
    <row r="786" spans="1:16" x14ac:dyDescent="0.25">
      <c r="P786" s="8" t="str">
        <f t="shared" si="12"/>
        <v/>
      </c>
    </row>
    <row r="787" spans="1:16" x14ac:dyDescent="0.25">
      <c r="P787" s="8"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10" customFormat="1" x14ac:dyDescent="0.25">
      <c r="P788" s="20" t="str">
        <f t="shared" si="13"/>
        <v/>
      </c>
    </row>
    <row r="789" spans="1:16" x14ac:dyDescent="0.25">
      <c r="A789" t="s">
        <v>22</v>
      </c>
      <c r="B789" t="s">
        <v>1134</v>
      </c>
      <c r="C789" t="s">
        <v>498</v>
      </c>
      <c r="D789" t="s">
        <v>497</v>
      </c>
      <c r="G789" t="s">
        <v>1137</v>
      </c>
      <c r="H789" t="s">
        <v>629</v>
      </c>
      <c r="K789" t="s">
        <v>1091</v>
      </c>
      <c r="P789" s="8" t="str">
        <f t="shared" si="13"/>
        <v>"@id": "",</v>
      </c>
    </row>
    <row r="790" spans="1:16" x14ac:dyDescent="0.25">
      <c r="C790" t="s">
        <v>225</v>
      </c>
      <c r="D790" t="s">
        <v>497</v>
      </c>
      <c r="E790" t="s">
        <v>752</v>
      </c>
      <c r="H790" t="s">
        <v>629</v>
      </c>
      <c r="J790" t="s">
        <v>1147</v>
      </c>
      <c r="K790" t="s">
        <v>1091</v>
      </c>
      <c r="L790" t="s">
        <v>1149</v>
      </c>
      <c r="M790" t="s">
        <v>151</v>
      </c>
      <c r="P790" s="8" t="str">
        <f t="shared" si="13"/>
        <v>"@type": "time:Instant",</v>
      </c>
    </row>
    <row r="791" spans="1:16" x14ac:dyDescent="0.25">
      <c r="C791" t="s">
        <v>223</v>
      </c>
      <c r="D791" t="s">
        <v>492</v>
      </c>
      <c r="H791" t="s">
        <v>629</v>
      </c>
      <c r="K791" t="s">
        <v>1091</v>
      </c>
      <c r="P791" s="8" t="str">
        <f t="shared" si="13"/>
        <v>"schema:name": "",</v>
      </c>
    </row>
    <row r="792" spans="1:16" x14ac:dyDescent="0.25">
      <c r="C792" t="s">
        <v>264</v>
      </c>
      <c r="D792" t="s">
        <v>492</v>
      </c>
      <c r="H792" t="s">
        <v>629</v>
      </c>
      <c r="K792" t="s">
        <v>1092</v>
      </c>
      <c r="P792" s="8" t="str">
        <f t="shared" si="13"/>
        <v>"schema:description": "",</v>
      </c>
    </row>
    <row r="793" spans="1:16" x14ac:dyDescent="0.25">
      <c r="C793" t="s">
        <v>617</v>
      </c>
      <c r="E793" t="s">
        <v>22</v>
      </c>
      <c r="J793" t="s">
        <v>762</v>
      </c>
      <c r="P793" s="8" t="str">
        <f t="shared" si="13"/>
        <v>"ex:describesContext": "",</v>
      </c>
    </row>
    <row r="794" spans="1:16" x14ac:dyDescent="0.25">
      <c r="C794" t="s">
        <v>629</v>
      </c>
      <c r="D794" t="s">
        <v>738</v>
      </c>
      <c r="H794" t="s">
        <v>1537</v>
      </c>
      <c r="J794" t="s">
        <v>750</v>
      </c>
      <c r="P794" s="8" t="str">
        <f t="shared" si="13"/>
        <v>"rdf:value": "",</v>
      </c>
    </row>
    <row r="795" spans="1:16" x14ac:dyDescent="0.25">
      <c r="C795" t="s">
        <v>1538</v>
      </c>
      <c r="E795" t="s">
        <v>1487</v>
      </c>
      <c r="F795" t="s">
        <v>1536</v>
      </c>
      <c r="G795" t="s">
        <v>1123</v>
      </c>
      <c r="H795" t="s">
        <v>1276</v>
      </c>
      <c r="P795" s="8" t="str">
        <f t="shared" si="13"/>
        <v>"ex:hasProvenanceType": "",</v>
      </c>
    </row>
    <row r="796" spans="1:16" x14ac:dyDescent="0.25">
      <c r="P796" s="8" t="str">
        <f t="shared" si="13"/>
        <v/>
      </c>
    </row>
    <row r="797" spans="1:16" x14ac:dyDescent="0.25">
      <c r="P797" s="8" t="str">
        <f t="shared" si="13"/>
        <v/>
      </c>
    </row>
    <row r="798" spans="1:16" x14ac:dyDescent="0.25">
      <c r="P798" s="8" t="str">
        <f t="shared" si="13"/>
        <v/>
      </c>
    </row>
    <row r="799" spans="1:16" x14ac:dyDescent="0.25">
      <c r="P799" s="8" t="str">
        <f t="shared" si="13"/>
        <v/>
      </c>
    </row>
    <row r="800" spans="1:16" x14ac:dyDescent="0.25">
      <c r="B800" t="s">
        <v>342</v>
      </c>
      <c r="C800" t="s">
        <v>498</v>
      </c>
      <c r="D800" t="s">
        <v>497</v>
      </c>
      <c r="H800" t="s">
        <v>629</v>
      </c>
      <c r="K800" t="s">
        <v>1091</v>
      </c>
      <c r="P800" s="8" t="str">
        <f t="shared" si="13"/>
        <v>"@id": "",</v>
      </c>
    </row>
    <row r="801" spans="1:16" x14ac:dyDescent="0.25">
      <c r="C801" t="s">
        <v>225</v>
      </c>
      <c r="D801" t="s">
        <v>497</v>
      </c>
      <c r="H801" t="s">
        <v>629</v>
      </c>
      <c r="J801" t="s">
        <v>1148</v>
      </c>
      <c r="K801" t="s">
        <v>1091</v>
      </c>
      <c r="L801" t="s">
        <v>1023</v>
      </c>
      <c r="M801" t="s">
        <v>151</v>
      </c>
      <c r="P801" s="8" t="str">
        <f t="shared" si="13"/>
        <v>"@type": "time:Duration",</v>
      </c>
    </row>
    <row r="802" spans="1:16" x14ac:dyDescent="0.25">
      <c r="C802" t="s">
        <v>223</v>
      </c>
      <c r="D802" t="s">
        <v>492</v>
      </c>
      <c r="H802" t="s">
        <v>629</v>
      </c>
      <c r="K802" t="s">
        <v>1091</v>
      </c>
      <c r="P802" s="8" t="str">
        <f t="shared" si="13"/>
        <v>"schema:name": "",</v>
      </c>
    </row>
    <row r="803" spans="1:16" x14ac:dyDescent="0.25">
      <c r="C803" t="s">
        <v>264</v>
      </c>
      <c r="D803" t="s">
        <v>492</v>
      </c>
      <c r="H803" t="s">
        <v>629</v>
      </c>
      <c r="K803" t="s">
        <v>1092</v>
      </c>
      <c r="P803" s="8" t="str">
        <f t="shared" si="13"/>
        <v>"schema:description": "",</v>
      </c>
    </row>
    <row r="804" spans="1:16" x14ac:dyDescent="0.25">
      <c r="C804" t="s">
        <v>617</v>
      </c>
      <c r="E804" t="s">
        <v>22</v>
      </c>
      <c r="H804" t="s">
        <v>229</v>
      </c>
      <c r="P804" s="8" t="str">
        <f t="shared" si="13"/>
        <v>"ex:describesContext": 
[
{
"@id": "#"
},
{
"@id": "#"
}
],</v>
      </c>
    </row>
    <row r="805" spans="1:16" x14ac:dyDescent="0.25">
      <c r="C805" t="s">
        <v>629</v>
      </c>
      <c r="D805" t="s">
        <v>738</v>
      </c>
      <c r="E805" t="s">
        <v>1138</v>
      </c>
      <c r="H805" t="s">
        <v>1537</v>
      </c>
      <c r="J805" t="s">
        <v>1142</v>
      </c>
      <c r="P805" s="8" t="str">
        <f t="shared" si="13"/>
        <v>"rdf:value": "",</v>
      </c>
    </row>
    <row r="806" spans="1:16" x14ac:dyDescent="0.25">
      <c r="C806" t="s">
        <v>1538</v>
      </c>
      <c r="E806" t="s">
        <v>1487</v>
      </c>
      <c r="F806" t="s">
        <v>1536</v>
      </c>
      <c r="G806" t="s">
        <v>1123</v>
      </c>
      <c r="H806" t="s">
        <v>1276</v>
      </c>
      <c r="P806" s="8" t="str">
        <f t="shared" si="13"/>
        <v>"ex:hasProvenanceType": "",</v>
      </c>
    </row>
    <row r="807" spans="1:16" x14ac:dyDescent="0.25">
      <c r="P807" s="8" t="str">
        <f t="shared" si="13"/>
        <v/>
      </c>
    </row>
    <row r="808" spans="1:16" x14ac:dyDescent="0.25">
      <c r="P808" s="8" t="str">
        <f t="shared" si="13"/>
        <v/>
      </c>
    </row>
    <row r="809" spans="1:16" x14ac:dyDescent="0.25">
      <c r="A809" t="s">
        <v>1552</v>
      </c>
      <c r="B809" t="s">
        <v>1134</v>
      </c>
      <c r="P809" s="8" t="str">
        <f t="shared" si="13"/>
        <v/>
      </c>
    </row>
    <row r="810" spans="1:16" x14ac:dyDescent="0.25">
      <c r="P810" s="8" t="str">
        <f t="shared" si="13"/>
        <v/>
      </c>
    </row>
    <row r="811" spans="1:16" x14ac:dyDescent="0.25">
      <c r="P811" s="8" t="str">
        <f t="shared" si="13"/>
        <v/>
      </c>
    </row>
    <row r="812" spans="1:16" x14ac:dyDescent="0.25">
      <c r="P812" s="8" t="str">
        <f t="shared" si="13"/>
        <v/>
      </c>
    </row>
    <row r="813" spans="1:16" s="1" customFormat="1" x14ac:dyDescent="0.25">
      <c r="P813" s="32" t="str">
        <f t="shared" si="13"/>
        <v/>
      </c>
    </row>
    <row r="814" spans="1:16" x14ac:dyDescent="0.25">
      <c r="P814" s="8" t="str">
        <f t="shared" si="13"/>
        <v/>
      </c>
    </row>
    <row r="815" spans="1:16" s="10" customFormat="1" x14ac:dyDescent="0.25">
      <c r="P815" s="20" t="str">
        <f t="shared" si="13"/>
        <v/>
      </c>
    </row>
    <row r="816" spans="1:16" x14ac:dyDescent="0.25">
      <c r="A816" t="s">
        <v>1135</v>
      </c>
      <c r="B816" t="s">
        <v>1140</v>
      </c>
      <c r="C816" t="s">
        <v>498</v>
      </c>
      <c r="D816" t="s">
        <v>497</v>
      </c>
      <c r="P816" s="8" t="str">
        <f t="shared" si="13"/>
        <v>"@id": "",</v>
      </c>
    </row>
    <row r="817" spans="1:16" x14ac:dyDescent="0.25">
      <c r="C817" t="s">
        <v>225</v>
      </c>
      <c r="D817" t="s">
        <v>497</v>
      </c>
      <c r="J817" t="s">
        <v>1135</v>
      </c>
      <c r="P817" s="8" t="str">
        <f t="shared" si="13"/>
        <v>"@type": "",</v>
      </c>
    </row>
    <row r="818" spans="1:16" x14ac:dyDescent="0.25">
      <c r="C818" t="s">
        <v>223</v>
      </c>
      <c r="D818" t="s">
        <v>492</v>
      </c>
      <c r="J818" t="s">
        <v>746</v>
      </c>
      <c r="P818" s="8" t="str">
        <f t="shared" si="13"/>
        <v>"schema:name": "",</v>
      </c>
    </row>
    <row r="819" spans="1:16" x14ac:dyDescent="0.25">
      <c r="C819" t="s">
        <v>264</v>
      </c>
      <c r="D819" t="s">
        <v>492</v>
      </c>
      <c r="P819" s="8" t="str">
        <f t="shared" si="13"/>
        <v>"schema:description": "",</v>
      </c>
    </row>
    <row r="820" spans="1:16" x14ac:dyDescent="0.25">
      <c r="C820" t="s">
        <v>617</v>
      </c>
      <c r="J820" t="s">
        <v>761</v>
      </c>
      <c r="P820" s="8" t="str">
        <f t="shared" si="13"/>
        <v>"ex:describesContext": "",</v>
      </c>
    </row>
    <row r="821" spans="1:16" x14ac:dyDescent="0.25">
      <c r="C821" t="s">
        <v>629</v>
      </c>
      <c r="D821" t="s">
        <v>738</v>
      </c>
      <c r="J821" t="s">
        <v>748</v>
      </c>
      <c r="P821" s="8" t="str">
        <f t="shared" si="13"/>
        <v>"rdf:value": "",</v>
      </c>
    </row>
    <row r="822" spans="1:16" x14ac:dyDescent="0.25">
      <c r="P822" s="8" t="str">
        <f t="shared" si="13"/>
        <v/>
      </c>
    </row>
    <row r="823" spans="1:16" x14ac:dyDescent="0.25">
      <c r="P823" s="8" t="str">
        <f t="shared" si="13"/>
        <v/>
      </c>
    </row>
    <row r="824" spans="1:16" s="10" customFormat="1" x14ac:dyDescent="0.25">
      <c r="P824" s="20" t="str">
        <f t="shared" si="13"/>
        <v/>
      </c>
    </row>
    <row r="825" spans="1:16" x14ac:dyDescent="0.25">
      <c r="A825" t="s">
        <v>1136</v>
      </c>
      <c r="B825" t="s">
        <v>1141</v>
      </c>
      <c r="C825" t="s">
        <v>498</v>
      </c>
      <c r="D825" t="s">
        <v>497</v>
      </c>
      <c r="F825" t="s">
        <v>1143</v>
      </c>
      <c r="P825" s="8" t="str">
        <f t="shared" si="13"/>
        <v>"@id": "",</v>
      </c>
    </row>
    <row r="826" spans="1:16" x14ac:dyDescent="0.25">
      <c r="C826" t="s">
        <v>225</v>
      </c>
      <c r="D826" t="s">
        <v>497</v>
      </c>
      <c r="J826" t="s">
        <v>1136</v>
      </c>
      <c r="P826" s="8" t="str">
        <f t="shared" si="13"/>
        <v>"@type": "",</v>
      </c>
    </row>
    <row r="827" spans="1:16" x14ac:dyDescent="0.25">
      <c r="C827" t="s">
        <v>223</v>
      </c>
      <c r="D827" t="s">
        <v>492</v>
      </c>
      <c r="J827" t="s">
        <v>743</v>
      </c>
      <c r="P827" s="8" t="str">
        <f t="shared" si="13"/>
        <v>"schema:name": "",</v>
      </c>
    </row>
    <row r="828" spans="1:16" x14ac:dyDescent="0.25">
      <c r="C828" t="s">
        <v>264</v>
      </c>
      <c r="D828" t="s">
        <v>492</v>
      </c>
      <c r="P828" s="8" t="str">
        <f t="shared" si="13"/>
        <v>"schema:description": "",</v>
      </c>
    </row>
    <row r="829" spans="1:16" x14ac:dyDescent="0.25">
      <c r="C829" t="s">
        <v>617</v>
      </c>
      <c r="J829" t="s">
        <v>763</v>
      </c>
      <c r="P829" s="8" t="str">
        <f t="shared" si="13"/>
        <v>"ex:describesContext": "",</v>
      </c>
    </row>
    <row r="830" spans="1:16" x14ac:dyDescent="0.25">
      <c r="C830" t="s">
        <v>629</v>
      </c>
      <c r="D830" t="s">
        <v>738</v>
      </c>
      <c r="I830" t="s">
        <v>374</v>
      </c>
      <c r="J830" t="s">
        <v>744</v>
      </c>
      <c r="P830" s="8" t="str">
        <f t="shared" si="13"/>
        <v>"rdf:value": "",</v>
      </c>
    </row>
    <row r="831" spans="1:16" x14ac:dyDescent="0.25">
      <c r="P831" s="8" t="str">
        <f t="shared" si="13"/>
        <v/>
      </c>
    </row>
    <row r="832" spans="1:16" x14ac:dyDescent="0.25">
      <c r="P832" s="8" t="str">
        <f t="shared" si="13"/>
        <v/>
      </c>
    </row>
    <row r="833" spans="16:16" x14ac:dyDescent="0.25">
      <c r="P833" s="8" t="str">
        <f t="shared" si="13"/>
        <v/>
      </c>
    </row>
    <row r="834" spans="16:16" x14ac:dyDescent="0.25">
      <c r="P834" s="8" t="str">
        <f t="shared" si="13"/>
        <v/>
      </c>
    </row>
    <row r="835" spans="16:16" x14ac:dyDescent="0.25">
      <c r="P835" s="8" t="str">
        <f t="shared" si="13"/>
        <v/>
      </c>
    </row>
    <row r="836" spans="16:16" x14ac:dyDescent="0.25">
      <c r="P836" s="8" t="str">
        <f t="shared" si="13"/>
        <v/>
      </c>
    </row>
    <row r="837" spans="16:16" x14ac:dyDescent="0.25">
      <c r="P837" s="8" t="str">
        <f t="shared" si="13"/>
        <v/>
      </c>
    </row>
  </sheetData>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8" t="s">
        <v>186</v>
      </c>
      <c r="B1" t="s">
        <v>279</v>
      </c>
      <c r="C1" s="7" t="s">
        <v>498</v>
      </c>
      <c r="D1" t="s">
        <v>497</v>
      </c>
      <c r="M1" t="str">
        <f>""""&amp;IF(D1="","ex:"&amp;C1,IF(D1="jsonld","@"&amp;C1,D1&amp;":"&amp;C1))&amp;""": """""&amp;","</f>
        <v>"@id": "",</v>
      </c>
    </row>
    <row r="2" spans="1:13" x14ac:dyDescent="0.25">
      <c r="A2" s="8"/>
      <c r="B2" t="s">
        <v>280</v>
      </c>
      <c r="C2" s="7" t="s">
        <v>225</v>
      </c>
      <c r="D2" t="s">
        <v>497</v>
      </c>
      <c r="E2" t="s">
        <v>2</v>
      </c>
      <c r="I2" t="s">
        <v>375</v>
      </c>
      <c r="M2" t="str">
        <f>""""&amp;IF(D2="","ex:"&amp;C2,IF(D2="jsonld","@"&amp;C2,D2&amp;":"&amp;C2))&amp;""": """""&amp;","</f>
        <v>"@type": "",</v>
      </c>
    </row>
    <row r="3" spans="1:13" x14ac:dyDescent="0.25">
      <c r="A3" s="8"/>
      <c r="C3" s="7" t="s">
        <v>223</v>
      </c>
      <c r="D3" t="s">
        <v>492</v>
      </c>
    </row>
    <row r="4" spans="1:13" x14ac:dyDescent="0.25">
      <c r="A4" s="8"/>
      <c r="C4" s="7" t="s">
        <v>264</v>
      </c>
      <c r="D4" t="s">
        <v>492</v>
      </c>
    </row>
    <row r="5" spans="1:13" x14ac:dyDescent="0.25">
      <c r="A5" s="8"/>
      <c r="B5" t="s">
        <v>282</v>
      </c>
      <c r="C5" s="27" t="s">
        <v>166</v>
      </c>
      <c r="E5" t="s">
        <v>183</v>
      </c>
      <c r="J5" t="s">
        <v>13</v>
      </c>
      <c r="K5" t="s">
        <v>2</v>
      </c>
      <c r="L5" t="s">
        <v>281</v>
      </c>
      <c r="M5" t="str">
        <f t="shared" ref="M5:M23" si="0">""""&amp;IF(D5="","ex:"&amp;C5,IF(D5="jsonld","@"&amp;C5,D5&amp;":"&amp;C5))&amp;""": """""&amp;","</f>
        <v>"ex:hasHomogeneity": "",</v>
      </c>
    </row>
    <row r="6" spans="1:13" x14ac:dyDescent="0.25">
      <c r="A6" s="8"/>
      <c r="C6" s="27" t="s">
        <v>168</v>
      </c>
      <c r="E6" t="s">
        <v>184</v>
      </c>
      <c r="J6" t="s">
        <v>13</v>
      </c>
      <c r="K6" t="s">
        <v>2</v>
      </c>
      <c r="M6" t="str">
        <f t="shared" si="0"/>
        <v>"ex:hasContinousPhase": "",</v>
      </c>
    </row>
    <row r="7" spans="1:13" x14ac:dyDescent="0.25">
      <c r="A7" s="8"/>
      <c r="C7" s="27" t="s">
        <v>169</v>
      </c>
      <c r="E7" t="s">
        <v>185</v>
      </c>
      <c r="J7" t="s">
        <v>13</v>
      </c>
      <c r="K7" t="s">
        <v>2</v>
      </c>
      <c r="M7" t="str">
        <f t="shared" si="0"/>
        <v>"ex:hasDispersedPhase": "",</v>
      </c>
    </row>
    <row r="8" spans="1:13" x14ac:dyDescent="0.25">
      <c r="A8" s="8"/>
      <c r="C8" s="7" t="s">
        <v>276</v>
      </c>
      <c r="H8" t="s">
        <v>231</v>
      </c>
      <c r="J8" t="s">
        <v>13</v>
      </c>
      <c r="K8" t="s">
        <v>2</v>
      </c>
      <c r="M8" t="str">
        <f t="shared" si="0"/>
        <v>"ex:hasEntropy": "",</v>
      </c>
    </row>
    <row r="9" spans="1:13" x14ac:dyDescent="0.25">
      <c r="A9" s="8"/>
      <c r="C9" s="7" t="s">
        <v>171</v>
      </c>
      <c r="E9" t="s">
        <v>150</v>
      </c>
      <c r="H9" t="s">
        <v>232</v>
      </c>
      <c r="J9" t="s">
        <v>22</v>
      </c>
      <c r="K9" t="s">
        <v>2</v>
      </c>
      <c r="M9" t="str">
        <f t="shared" si="0"/>
        <v>"ex:preparationTime": "",</v>
      </c>
    </row>
    <row r="10" spans="1:13" x14ac:dyDescent="0.25">
      <c r="A10" s="8"/>
      <c r="C10" s="7" t="s">
        <v>234</v>
      </c>
      <c r="E10" t="s">
        <v>378</v>
      </c>
      <c r="H10" t="s">
        <v>229</v>
      </c>
      <c r="M10" t="str">
        <f t="shared" si="0"/>
        <v>"ex:preparationProcedure": "",</v>
      </c>
    </row>
    <row r="11" spans="1:13" x14ac:dyDescent="0.25">
      <c r="A11" s="8"/>
      <c r="C11" s="7" t="s">
        <v>82</v>
      </c>
      <c r="E11" t="s">
        <v>377</v>
      </c>
      <c r="H11" t="s">
        <v>232</v>
      </c>
      <c r="K11" t="s">
        <v>2</v>
      </c>
      <c r="L11" t="s">
        <v>379</v>
      </c>
      <c r="M11" t="str">
        <f t="shared" si="0"/>
        <v>"ex:lastUsedTime": "",</v>
      </c>
    </row>
    <row r="12" spans="1:13" x14ac:dyDescent="0.25">
      <c r="A12" s="8"/>
      <c r="C12" s="7" t="s">
        <v>172</v>
      </c>
      <c r="E12" t="s">
        <v>373</v>
      </c>
      <c r="K12" t="s">
        <v>2</v>
      </c>
      <c r="M12" t="str">
        <f t="shared" si="0"/>
        <v>"ex:lastUsedDuration": "",</v>
      </c>
    </row>
    <row r="13" spans="1:13" x14ac:dyDescent="0.25">
      <c r="A13" s="8"/>
      <c r="C13" s="7" t="s">
        <v>204</v>
      </c>
      <c r="H13" t="s">
        <v>230</v>
      </c>
      <c r="K13" t="s">
        <v>2</v>
      </c>
      <c r="M13" t="str">
        <f t="shared" si="0"/>
        <v>"ex:hasDurationUnit": "",</v>
      </c>
    </row>
    <row r="14" spans="1:13" x14ac:dyDescent="0.25">
      <c r="A14" s="8"/>
      <c r="C14" s="7" t="s">
        <v>83</v>
      </c>
      <c r="E14" t="s">
        <v>381</v>
      </c>
      <c r="H14" t="s">
        <v>380</v>
      </c>
      <c r="K14" t="s">
        <v>2</v>
      </c>
      <c r="M14" t="str">
        <f t="shared" si="0"/>
        <v>"ex:lastUsedPurpose": "",</v>
      </c>
    </row>
    <row r="15" spans="1:13" x14ac:dyDescent="0.25">
      <c r="A15" s="8"/>
      <c r="C15" s="7" t="s">
        <v>195</v>
      </c>
      <c r="H15" t="s">
        <v>231</v>
      </c>
      <c r="K15" t="s">
        <v>2</v>
      </c>
      <c r="M15" t="str">
        <f t="shared" si="0"/>
        <v>"ex:hasMass": "",</v>
      </c>
    </row>
    <row r="16" spans="1:13" x14ac:dyDescent="0.25">
      <c r="A16" s="8"/>
      <c r="C16" s="7" t="s">
        <v>173</v>
      </c>
      <c r="E16" t="s">
        <v>383</v>
      </c>
      <c r="H16" t="s">
        <v>231</v>
      </c>
      <c r="K16" t="s">
        <v>2</v>
      </c>
      <c r="L16" t="s">
        <v>382</v>
      </c>
      <c r="M16" t="str">
        <f t="shared" si="0"/>
        <v>"ex:amountAdded": "",</v>
      </c>
    </row>
    <row r="17" spans="1:16" x14ac:dyDescent="0.25">
      <c r="A17" s="8"/>
      <c r="C17" s="7" t="s">
        <v>105</v>
      </c>
      <c r="E17" t="s">
        <v>384</v>
      </c>
      <c r="K17" t="s">
        <v>2</v>
      </c>
      <c r="L17" t="s">
        <v>385</v>
      </c>
      <c r="M17" t="str">
        <f t="shared" si="0"/>
        <v>"ex:hasForm": "",</v>
      </c>
    </row>
    <row r="18" spans="1:16" x14ac:dyDescent="0.25">
      <c r="A18" s="8"/>
      <c r="C18" s="7" t="s">
        <v>202</v>
      </c>
      <c r="E18" t="s">
        <v>386</v>
      </c>
      <c r="K18" t="s">
        <v>2</v>
      </c>
      <c r="M18" t="str">
        <f t="shared" si="0"/>
        <v>"ex:hasPhaseStructure": "",</v>
      </c>
    </row>
    <row r="19" spans="1:16" x14ac:dyDescent="0.25">
      <c r="A19" s="8"/>
      <c r="C19" s="7" t="s">
        <v>214</v>
      </c>
      <c r="H19" t="s">
        <v>231</v>
      </c>
      <c r="K19" t="s">
        <v>2</v>
      </c>
      <c r="L19" t="s">
        <v>387</v>
      </c>
      <c r="M19" t="str">
        <f t="shared" si="0"/>
        <v>"ex:hasSurfaceAreaWithGasPhase": "",</v>
      </c>
    </row>
    <row r="20" spans="1:16" x14ac:dyDescent="0.25">
      <c r="A20" s="8"/>
      <c r="C20" s="7" t="s">
        <v>228</v>
      </c>
      <c r="E20" t="s">
        <v>389</v>
      </c>
      <c r="H20" t="s">
        <v>388</v>
      </c>
      <c r="K20" t="s">
        <v>2</v>
      </c>
      <c r="M20" t="str">
        <f t="shared" si="0"/>
        <v>"ex:hasBubbleSizeDistributionGas": "",</v>
      </c>
    </row>
    <row r="21" spans="1:16" x14ac:dyDescent="0.25">
      <c r="A21" s="8"/>
      <c r="C21" s="7" t="s">
        <v>216</v>
      </c>
      <c r="E21" t="s">
        <v>389</v>
      </c>
      <c r="H21" t="s">
        <v>390</v>
      </c>
      <c r="K21" t="s">
        <v>2</v>
      </c>
      <c r="M21" t="str">
        <f t="shared" si="0"/>
        <v>"ex:hasParticleSizeDIstributionSolid": "",</v>
      </c>
    </row>
    <row r="22" spans="1:16" x14ac:dyDescent="0.25">
      <c r="A22" s="8"/>
      <c r="M22" t="str">
        <f t="shared" si="0"/>
        <v>"ex:": "",</v>
      </c>
      <c r="O22" t="s">
        <v>275</v>
      </c>
      <c r="P22" t="s">
        <v>232</v>
      </c>
    </row>
    <row r="23" spans="1:16" x14ac:dyDescent="0.25">
      <c r="A23" s="8"/>
      <c r="M23" t="str">
        <f t="shared" si="0"/>
        <v>"ex:": "",</v>
      </c>
      <c r="O23" t="s">
        <v>295</v>
      </c>
      <c r="P23" t="s">
        <v>294</v>
      </c>
    </row>
    <row r="24" spans="1:16" x14ac:dyDescent="0.25">
      <c r="A24" s="8"/>
    </row>
    <row r="25" spans="1:16" x14ac:dyDescent="0.25">
      <c r="A25" s="8" t="s">
        <v>914</v>
      </c>
      <c r="B25" t="s">
        <v>915</v>
      </c>
      <c r="C25" t="s">
        <v>498</v>
      </c>
      <c r="D25" t="s">
        <v>497</v>
      </c>
    </row>
    <row r="26" spans="1:16" x14ac:dyDescent="0.25">
      <c r="A26" s="8"/>
      <c r="B26" t="s">
        <v>922</v>
      </c>
      <c r="C26" t="s">
        <v>225</v>
      </c>
      <c r="D26" t="s">
        <v>497</v>
      </c>
    </row>
    <row r="27" spans="1:16" x14ac:dyDescent="0.25">
      <c r="A27" s="8"/>
      <c r="C27" t="s">
        <v>223</v>
      </c>
      <c r="D27" t="s">
        <v>492</v>
      </c>
    </row>
    <row r="28" spans="1:16" x14ac:dyDescent="0.25">
      <c r="A28" s="8"/>
      <c r="C28" t="s">
        <v>264</v>
      </c>
      <c r="D28" t="s">
        <v>492</v>
      </c>
    </row>
    <row r="29" spans="1:16" x14ac:dyDescent="0.25">
      <c r="A29" s="8"/>
      <c r="C29" t="s">
        <v>334</v>
      </c>
      <c r="E29" t="s">
        <v>951</v>
      </c>
    </row>
    <row r="30" spans="1:16" x14ac:dyDescent="0.25">
      <c r="A30" s="8"/>
      <c r="C30" t="s">
        <v>935</v>
      </c>
      <c r="E30" t="s">
        <v>157</v>
      </c>
    </row>
    <row r="31" spans="1:16" x14ac:dyDescent="0.25">
      <c r="A31" s="8"/>
      <c r="C31" t="s">
        <v>949</v>
      </c>
      <c r="E31" t="s">
        <v>950</v>
      </c>
    </row>
    <row r="32" spans="1:16" x14ac:dyDescent="0.25">
      <c r="A32" s="8"/>
      <c r="C32" t="s">
        <v>617</v>
      </c>
      <c r="E32" t="s">
        <v>928</v>
      </c>
    </row>
    <row r="33" spans="1:16" x14ac:dyDescent="0.25">
      <c r="A33" s="8"/>
      <c r="C33" t="s">
        <v>921</v>
      </c>
    </row>
    <row r="34" spans="1:16" x14ac:dyDescent="0.25">
      <c r="A34" s="8"/>
      <c r="C34" t="s">
        <v>943</v>
      </c>
      <c r="E34" t="s">
        <v>945</v>
      </c>
      <c r="H34" t="s">
        <v>948</v>
      </c>
      <c r="L34" t="s">
        <v>947</v>
      </c>
    </row>
    <row r="35" spans="1:16" x14ac:dyDescent="0.25">
      <c r="A35" s="8"/>
      <c r="C35" t="s">
        <v>944</v>
      </c>
      <c r="E35" t="s">
        <v>946</v>
      </c>
      <c r="H35" t="s">
        <v>948</v>
      </c>
    </row>
    <row r="36" spans="1:16" x14ac:dyDescent="0.25">
      <c r="A36" s="8"/>
    </row>
    <row r="37" spans="1:16" x14ac:dyDescent="0.25">
      <c r="A37" s="8"/>
    </row>
    <row r="38" spans="1:16" x14ac:dyDescent="0.25">
      <c r="A38" s="8"/>
    </row>
    <row r="39" spans="1:16" x14ac:dyDescent="0.25">
      <c r="A39" s="8"/>
    </row>
    <row r="40" spans="1:16" x14ac:dyDescent="0.25">
      <c r="A40" s="8"/>
      <c r="B40" t="s">
        <v>916</v>
      </c>
      <c r="C40" t="s">
        <v>498</v>
      </c>
      <c r="D40" t="s">
        <v>497</v>
      </c>
      <c r="G40" t="s">
        <v>933</v>
      </c>
      <c r="M40" t="str">
        <f>""""&amp;IF(D40="","ex:"&amp;C40,IF(D40="jsonld","@"&amp;C40,D40&amp;":"&amp;C40))&amp;""": """""&amp;","</f>
        <v>"@id": "",</v>
      </c>
      <c r="P40" t="s">
        <v>231</v>
      </c>
    </row>
    <row r="41" spans="1:16" x14ac:dyDescent="0.25">
      <c r="A41" s="8"/>
      <c r="B41" t="s">
        <v>923</v>
      </c>
      <c r="C41" t="s">
        <v>225</v>
      </c>
      <c r="D41" t="s">
        <v>497</v>
      </c>
      <c r="M41" t="str">
        <f>""""&amp;IF(D41="","ex:"&amp;C41,IF(D41="jsonld","@"&amp;C41,D41&amp;":"&amp;C41))&amp;""": """""&amp;","</f>
        <v>"@type": "",</v>
      </c>
      <c r="P41" t="s">
        <v>230</v>
      </c>
    </row>
    <row r="42" spans="1:16" x14ac:dyDescent="0.25">
      <c r="A42" s="8"/>
      <c r="C42" t="s">
        <v>223</v>
      </c>
      <c r="D42" t="s">
        <v>492</v>
      </c>
      <c r="M42" t="str">
        <f>""""&amp;IF(D42="","ex:"&amp;C42,IF(D42="jsonld","@"&amp;C42,D42&amp;":"&amp;C42))&amp;""": """""&amp;","</f>
        <v>"schema:name": "",</v>
      </c>
      <c r="O42" t="s">
        <v>288</v>
      </c>
      <c r="P42" t="s">
        <v>296</v>
      </c>
    </row>
    <row r="43" spans="1:16" x14ac:dyDescent="0.25">
      <c r="A43" s="8"/>
      <c r="C43" t="s">
        <v>264</v>
      </c>
      <c r="D43" t="s">
        <v>492</v>
      </c>
      <c r="M43" t="str">
        <f>""""&amp;IF(D43="","ex:"&amp;C43,IF(D43="jsonld","@"&amp;C43,D43&amp;":"&amp;C43))&amp;""": """""&amp;","</f>
        <v>"schema:description": "",</v>
      </c>
      <c r="O43" t="s">
        <v>297</v>
      </c>
      <c r="P43" t="s">
        <v>298</v>
      </c>
    </row>
    <row r="44" spans="1:16" x14ac:dyDescent="0.25">
      <c r="A44" s="8"/>
      <c r="C44" t="s">
        <v>935</v>
      </c>
    </row>
    <row r="45" spans="1:16" x14ac:dyDescent="0.25">
      <c r="A45" s="8"/>
      <c r="C45" t="s">
        <v>917</v>
      </c>
      <c r="E45" t="s">
        <v>918</v>
      </c>
    </row>
    <row r="46" spans="1:16" x14ac:dyDescent="0.25">
      <c r="A46" s="8"/>
      <c r="C46" t="s">
        <v>919</v>
      </c>
    </row>
    <row r="47" spans="1:16" x14ac:dyDescent="0.25">
      <c r="A47" s="8"/>
      <c r="C47" t="s">
        <v>920</v>
      </c>
    </row>
    <row r="48" spans="1:16" x14ac:dyDescent="0.25">
      <c r="A48" s="8"/>
      <c r="C48" t="s">
        <v>931</v>
      </c>
      <c r="G48" t="s">
        <v>932</v>
      </c>
    </row>
    <row r="49" spans="1:12" x14ac:dyDescent="0.25">
      <c r="A49" s="8"/>
      <c r="C49" t="s">
        <v>938</v>
      </c>
      <c r="H49" t="s">
        <v>939</v>
      </c>
    </row>
    <row r="50" spans="1:12" x14ac:dyDescent="0.25">
      <c r="A50" s="8"/>
      <c r="C50" t="s">
        <v>942</v>
      </c>
    </row>
    <row r="51" spans="1:12" x14ac:dyDescent="0.25">
      <c r="A51" s="8"/>
    </row>
    <row r="52" spans="1:12" x14ac:dyDescent="0.25">
      <c r="A52" s="8"/>
    </row>
    <row r="53" spans="1:12" x14ac:dyDescent="0.25">
      <c r="A53" s="8"/>
    </row>
    <row r="54" spans="1:12" x14ac:dyDescent="0.25">
      <c r="A54" s="8"/>
    </row>
    <row r="55" spans="1:12" x14ac:dyDescent="0.25">
      <c r="A55" s="8"/>
    </row>
    <row r="56" spans="1:12" x14ac:dyDescent="0.25">
      <c r="A56" s="8" t="s">
        <v>934</v>
      </c>
      <c r="C56" t="s">
        <v>498</v>
      </c>
      <c r="D56" t="s">
        <v>497</v>
      </c>
      <c r="L56" t="s">
        <v>937</v>
      </c>
    </row>
    <row r="57" spans="1:12" x14ac:dyDescent="0.25">
      <c r="A57" s="8"/>
      <c r="C57" t="s">
        <v>225</v>
      </c>
      <c r="D57" t="s">
        <v>497</v>
      </c>
    </row>
    <row r="58" spans="1:12" x14ac:dyDescent="0.25">
      <c r="A58" s="8"/>
      <c r="C58" t="s">
        <v>223</v>
      </c>
      <c r="D58" t="s">
        <v>492</v>
      </c>
    </row>
    <row r="59" spans="1:12" x14ac:dyDescent="0.25">
      <c r="A59" s="8"/>
      <c r="C59" t="s">
        <v>264</v>
      </c>
      <c r="D59" t="s">
        <v>492</v>
      </c>
    </row>
    <row r="60" spans="1:12" x14ac:dyDescent="0.25">
      <c r="A60" s="8"/>
      <c r="C60" t="s">
        <v>617</v>
      </c>
    </row>
    <row r="61" spans="1:12" x14ac:dyDescent="0.25">
      <c r="A61" s="8"/>
      <c r="C61" t="s">
        <v>935</v>
      </c>
      <c r="E61" t="s">
        <v>158</v>
      </c>
    </row>
    <row r="62" spans="1:12" x14ac:dyDescent="0.25">
      <c r="A62" s="8"/>
      <c r="C62" t="s">
        <v>917</v>
      </c>
      <c r="E62" t="s">
        <v>936</v>
      </c>
    </row>
    <row r="63" spans="1:12" x14ac:dyDescent="0.25">
      <c r="A63" s="8"/>
    </row>
    <row r="64" spans="1:12" x14ac:dyDescent="0.25">
      <c r="A64" s="8"/>
    </row>
    <row r="65" spans="1:12" x14ac:dyDescent="0.25">
      <c r="A65" s="8"/>
    </row>
    <row r="66" spans="1:12" x14ac:dyDescent="0.25">
      <c r="A66" s="8"/>
    </row>
    <row r="67" spans="1:12" x14ac:dyDescent="0.25">
      <c r="A67" s="8" t="s">
        <v>924</v>
      </c>
      <c r="C67" t="s">
        <v>498</v>
      </c>
      <c r="D67" t="s">
        <v>497</v>
      </c>
    </row>
    <row r="68" spans="1:12" x14ac:dyDescent="0.25">
      <c r="A68" s="8"/>
      <c r="C68" t="s">
        <v>225</v>
      </c>
      <c r="D68" t="s">
        <v>497</v>
      </c>
    </row>
    <row r="69" spans="1:12" x14ac:dyDescent="0.25">
      <c r="A69" s="8"/>
      <c r="C69" t="s">
        <v>223</v>
      </c>
      <c r="D69" t="s">
        <v>492</v>
      </c>
    </row>
    <row r="70" spans="1:12" x14ac:dyDescent="0.25">
      <c r="A70" s="8"/>
      <c r="C70" t="s">
        <v>264</v>
      </c>
      <c r="D70" t="s">
        <v>492</v>
      </c>
    </row>
    <row r="71" spans="1:12" x14ac:dyDescent="0.25">
      <c r="A71" s="8"/>
    </row>
    <row r="72" spans="1:12" x14ac:dyDescent="0.25">
      <c r="A72" s="8"/>
      <c r="C72" t="s">
        <v>403</v>
      </c>
      <c r="E72" t="s">
        <v>926</v>
      </c>
    </row>
    <row r="73" spans="1:12" x14ac:dyDescent="0.25">
      <c r="A73" s="8"/>
      <c r="C73" t="s">
        <v>925</v>
      </c>
      <c r="E73" t="s">
        <v>927</v>
      </c>
    </row>
    <row r="74" spans="1:12" x14ac:dyDescent="0.25">
      <c r="A74" s="8"/>
      <c r="C74" t="s">
        <v>943</v>
      </c>
      <c r="E74" t="s">
        <v>953</v>
      </c>
      <c r="L74" t="s">
        <v>952</v>
      </c>
    </row>
    <row r="75" spans="1:12" x14ac:dyDescent="0.25">
      <c r="A75" s="8"/>
    </row>
    <row r="76" spans="1:12" x14ac:dyDescent="0.25">
      <c r="A76" s="8"/>
    </row>
    <row r="77" spans="1:12" x14ac:dyDescent="0.25">
      <c r="A77" s="8"/>
    </row>
    <row r="78" spans="1:12" x14ac:dyDescent="0.25">
      <c r="A78" s="8"/>
    </row>
    <row r="79" spans="1:12" x14ac:dyDescent="0.25">
      <c r="A79" s="8"/>
    </row>
    <row r="80" spans="1:12" x14ac:dyDescent="0.25">
      <c r="A80" s="8"/>
    </row>
    <row r="82" spans="1:13" x14ac:dyDescent="0.25">
      <c r="A82" s="8"/>
      <c r="B82" t="s">
        <v>824</v>
      </c>
      <c r="C82" t="s">
        <v>498</v>
      </c>
      <c r="M82" t="str">
        <f t="shared" ref="M82:M115" si="1">""""&amp;IF(D82="","ex:"&amp;C82,IF(D82="jsonld","@"&amp;C82,D82&amp;":"&amp;C82))&amp;""": """""&amp;","</f>
        <v>"ex:id": "",</v>
      </c>
    </row>
    <row r="83" spans="1:13" x14ac:dyDescent="0.25">
      <c r="A83" s="8"/>
      <c r="C83" t="s">
        <v>225</v>
      </c>
      <c r="E83" t="s">
        <v>814</v>
      </c>
      <c r="M83" t="str">
        <f t="shared" si="1"/>
        <v>"ex:type": "",</v>
      </c>
    </row>
    <row r="84" spans="1:13" x14ac:dyDescent="0.25">
      <c r="A84" s="8"/>
      <c r="C84" t="s">
        <v>223</v>
      </c>
      <c r="E84" t="s">
        <v>815</v>
      </c>
      <c r="M84" t="str">
        <f t="shared" si="1"/>
        <v>"ex:name": "",</v>
      </c>
    </row>
    <row r="85" spans="1:13" x14ac:dyDescent="0.25">
      <c r="A85" s="8"/>
      <c r="C85" t="s">
        <v>592</v>
      </c>
      <c r="E85" t="s">
        <v>816</v>
      </c>
      <c r="M85" t="str">
        <f t="shared" si="1"/>
        <v>"ex:task_kind": "",</v>
      </c>
    </row>
    <row r="86" spans="1:13" x14ac:dyDescent="0.25">
      <c r="A86" s="8"/>
      <c r="C86" s="7" t="s">
        <v>593</v>
      </c>
      <c r="K86" t="s">
        <v>818</v>
      </c>
      <c r="L86" t="s">
        <v>813</v>
      </c>
      <c r="M86" t="str">
        <f t="shared" si="1"/>
        <v>"ex:task_id": "",</v>
      </c>
    </row>
    <row r="87" spans="1:13" x14ac:dyDescent="0.25">
      <c r="A87" s="8"/>
      <c r="C87" t="s">
        <v>594</v>
      </c>
      <c r="E87" t="s">
        <v>321</v>
      </c>
      <c r="L87" t="s">
        <v>819</v>
      </c>
      <c r="M87" t="str">
        <f t="shared" si="1"/>
        <v>"ex:equipment_id": "",</v>
      </c>
    </row>
    <row r="88" spans="1:13" x14ac:dyDescent="0.25">
      <c r="A88" s="8"/>
      <c r="C88" t="s">
        <v>595</v>
      </c>
      <c r="E88">
        <v>1</v>
      </c>
      <c r="K88" t="s">
        <v>817</v>
      </c>
      <c r="M88" t="str">
        <f t="shared" si="1"/>
        <v>"ex:task_number": "",</v>
      </c>
    </row>
    <row r="89" spans="1:13" x14ac:dyDescent="0.25">
      <c r="A89" s="8"/>
      <c r="C89" s="25" t="s">
        <v>337</v>
      </c>
      <c r="D89" s="25"/>
      <c r="E89" s="25" t="s">
        <v>189</v>
      </c>
      <c r="M89" t="str">
        <f t="shared" si="1"/>
        <v>"ex:sourceID": "",</v>
      </c>
    </row>
    <row r="90" spans="1:13" x14ac:dyDescent="0.25">
      <c r="A90" s="8"/>
      <c r="C90" t="s">
        <v>338</v>
      </c>
      <c r="E90" t="s">
        <v>321</v>
      </c>
      <c r="M90" t="str">
        <f t="shared" si="1"/>
        <v>"ex:destinationID": "",</v>
      </c>
    </row>
    <row r="91" spans="1:13" x14ac:dyDescent="0.25">
      <c r="A91" s="8"/>
      <c r="C91" t="s">
        <v>339</v>
      </c>
      <c r="E91" t="s">
        <v>157</v>
      </c>
      <c r="M91" t="str">
        <f t="shared" si="1"/>
        <v>"ex:transferType": "",</v>
      </c>
    </row>
    <row r="92" spans="1:13" x14ac:dyDescent="0.25">
      <c r="A92" s="8"/>
      <c r="C92" t="s">
        <v>340</v>
      </c>
      <c r="E92" t="s">
        <v>820</v>
      </c>
      <c r="M92" t="str">
        <f t="shared" si="1"/>
        <v>"ex:amount": "",</v>
      </c>
    </row>
    <row r="93" spans="1:13" x14ac:dyDescent="0.25">
      <c r="A93" s="8"/>
      <c r="C93" t="s">
        <v>341</v>
      </c>
      <c r="E93" t="s">
        <v>189</v>
      </c>
      <c r="M93" t="str">
        <f t="shared" si="1"/>
        <v>"ex:flowRate": "",</v>
      </c>
    </row>
    <row r="94" spans="1:13" x14ac:dyDescent="0.25">
      <c r="A94" s="8"/>
      <c r="C94" t="s">
        <v>342</v>
      </c>
      <c r="E94" t="s">
        <v>189</v>
      </c>
      <c r="M94" t="str">
        <f t="shared" si="1"/>
        <v>"ex:duration": "",</v>
      </c>
    </row>
    <row r="95" spans="1:13" x14ac:dyDescent="0.25">
      <c r="A95" s="8"/>
      <c r="C95" t="s">
        <v>343</v>
      </c>
      <c r="E95" t="s">
        <v>821</v>
      </c>
      <c r="M95" t="str">
        <f t="shared" si="1"/>
        <v>"ex:stopCondition": "",</v>
      </c>
    </row>
    <row r="96" spans="1:13" x14ac:dyDescent="0.25">
      <c r="A96" s="8"/>
      <c r="C96" t="s">
        <v>826</v>
      </c>
      <c r="E96" t="s">
        <v>827</v>
      </c>
      <c r="H96" t="s">
        <v>834</v>
      </c>
      <c r="M96" t="str">
        <f t="shared" si="1"/>
        <v>"ex:transferredPhase": "",</v>
      </c>
    </row>
    <row r="97" spans="1:13" x14ac:dyDescent="0.25">
      <c r="A97" s="8"/>
      <c r="M97" t="str">
        <f t="shared" si="1"/>
        <v>"ex:": "",</v>
      </c>
    </row>
    <row r="98" spans="1:13" x14ac:dyDescent="0.25">
      <c r="A98" s="8"/>
      <c r="M98" t="str">
        <f t="shared" si="1"/>
        <v>"ex:": "",</v>
      </c>
    </row>
    <row r="99" spans="1:13" x14ac:dyDescent="0.25">
      <c r="A99" s="8"/>
      <c r="M99" t="str">
        <f t="shared" si="1"/>
        <v>"ex:": "",</v>
      </c>
    </row>
    <row r="100" spans="1:13" x14ac:dyDescent="0.25">
      <c r="A100" s="8"/>
      <c r="M100" t="str">
        <f t="shared" si="1"/>
        <v>"ex:": "",</v>
      </c>
    </row>
    <row r="101" spans="1:13" x14ac:dyDescent="0.25">
      <c r="A101" s="8"/>
      <c r="B101" t="s">
        <v>638</v>
      </c>
      <c r="C101" t="s">
        <v>498</v>
      </c>
      <c r="M101" t="str">
        <f t="shared" si="1"/>
        <v>"ex:id": "",</v>
      </c>
    </row>
    <row r="102" spans="1:13" x14ac:dyDescent="0.25">
      <c r="A102" s="8"/>
      <c r="C102" t="s">
        <v>225</v>
      </c>
      <c r="E102" t="s">
        <v>814</v>
      </c>
      <c r="M102" t="str">
        <f t="shared" si="1"/>
        <v>"ex:type": "",</v>
      </c>
    </row>
    <row r="103" spans="1:13" x14ac:dyDescent="0.25">
      <c r="A103" s="8"/>
      <c r="C103" t="s">
        <v>223</v>
      </c>
      <c r="E103" t="s">
        <v>822</v>
      </c>
      <c r="M103" t="str">
        <f t="shared" si="1"/>
        <v>"ex:name": "",</v>
      </c>
    </row>
    <row r="104" spans="1:13" x14ac:dyDescent="0.25">
      <c r="A104" s="8"/>
      <c r="C104" t="s">
        <v>592</v>
      </c>
      <c r="E104" t="s">
        <v>638</v>
      </c>
      <c r="M104" t="str">
        <f t="shared" si="1"/>
        <v>"ex:task_kind": "",</v>
      </c>
    </row>
    <row r="105" spans="1:13" x14ac:dyDescent="0.25">
      <c r="A105" s="8"/>
      <c r="C105" s="7" t="s">
        <v>593</v>
      </c>
      <c r="M105" t="str">
        <f t="shared" si="1"/>
        <v>"ex:task_id": "",</v>
      </c>
    </row>
    <row r="106" spans="1:13" x14ac:dyDescent="0.25">
      <c r="A106" s="8"/>
      <c r="C106" s="7" t="s">
        <v>594</v>
      </c>
      <c r="E106" t="s">
        <v>798</v>
      </c>
      <c r="M106" t="str">
        <f t="shared" si="1"/>
        <v>"ex:equipment_id": "",</v>
      </c>
    </row>
    <row r="107" spans="1:13" x14ac:dyDescent="0.25">
      <c r="A107" s="8"/>
      <c r="C107" t="s">
        <v>595</v>
      </c>
      <c r="E107">
        <v>1</v>
      </c>
      <c r="M107" t="str">
        <f t="shared" si="1"/>
        <v>"ex:task_number": "",</v>
      </c>
    </row>
    <row r="108" spans="1:13" x14ac:dyDescent="0.25">
      <c r="A108" s="8"/>
      <c r="C108" t="s">
        <v>337</v>
      </c>
      <c r="E108" t="s">
        <v>798</v>
      </c>
      <c r="M108" t="str">
        <f t="shared" si="1"/>
        <v>"ex:sourceID": "",</v>
      </c>
    </row>
    <row r="109" spans="1:13" x14ac:dyDescent="0.25">
      <c r="A109" s="8"/>
      <c r="C109" t="s">
        <v>338</v>
      </c>
      <c r="E109" t="s">
        <v>189</v>
      </c>
      <c r="M109" t="str">
        <f t="shared" si="1"/>
        <v>"ex:destinationID": "",</v>
      </c>
    </row>
    <row r="110" spans="1:13" x14ac:dyDescent="0.25">
      <c r="A110" s="8"/>
      <c r="C110" s="7" t="s">
        <v>339</v>
      </c>
      <c r="E110" t="s">
        <v>157</v>
      </c>
      <c r="L110" t="s">
        <v>832</v>
      </c>
      <c r="M110" t="str">
        <f t="shared" si="1"/>
        <v>"ex:transferType": "",</v>
      </c>
    </row>
    <row r="111" spans="1:13" x14ac:dyDescent="0.25">
      <c r="A111" s="8"/>
      <c r="C111" t="s">
        <v>340</v>
      </c>
      <c r="E111" t="s">
        <v>823</v>
      </c>
      <c r="M111" t="str">
        <f t="shared" si="1"/>
        <v>"ex:amount": "",</v>
      </c>
    </row>
    <row r="112" spans="1:13" x14ac:dyDescent="0.25">
      <c r="A112" s="8"/>
      <c r="C112" t="s">
        <v>341</v>
      </c>
      <c r="E112" t="s">
        <v>189</v>
      </c>
      <c r="L112" t="s">
        <v>833</v>
      </c>
      <c r="M112" t="str">
        <f t="shared" si="1"/>
        <v>"ex:flowRate": "",</v>
      </c>
    </row>
    <row r="113" spans="1:13" x14ac:dyDescent="0.25">
      <c r="A113" s="8"/>
      <c r="C113" t="s">
        <v>342</v>
      </c>
      <c r="E113" t="s">
        <v>189</v>
      </c>
      <c r="M113" t="str">
        <f t="shared" si="1"/>
        <v>"ex:duration": "",</v>
      </c>
    </row>
    <row r="114" spans="1:13" x14ac:dyDescent="0.25">
      <c r="A114" s="8"/>
      <c r="C114" t="s">
        <v>343</v>
      </c>
      <c r="E114" t="s">
        <v>189</v>
      </c>
      <c r="M114" t="str">
        <f t="shared" si="1"/>
        <v>"ex:stopCondition": "",</v>
      </c>
    </row>
    <row r="115" spans="1:13" x14ac:dyDescent="0.25">
      <c r="A115" s="8"/>
      <c r="C115" t="s">
        <v>826</v>
      </c>
      <c r="E115" t="s">
        <v>828</v>
      </c>
      <c r="M115" t="str">
        <f t="shared" si="1"/>
        <v>"ex:transferredPhase": "",</v>
      </c>
    </row>
    <row r="118" spans="1:13" x14ac:dyDescent="0.25">
      <c r="A118" s="8"/>
      <c r="B118" t="s">
        <v>940</v>
      </c>
      <c r="L118" t="s">
        <v>941</v>
      </c>
    </row>
    <row r="124" spans="1:13" x14ac:dyDescent="0.25">
      <c r="A124" s="8" t="s">
        <v>811</v>
      </c>
      <c r="B124" s="7" t="s">
        <v>825</v>
      </c>
      <c r="C124" s="7" t="s">
        <v>498</v>
      </c>
      <c r="D124" s="7" t="s">
        <v>497</v>
      </c>
      <c r="E124" s="7"/>
      <c r="F124" s="7"/>
      <c r="G124" s="7"/>
      <c r="H124" s="7"/>
      <c r="M124" t="str">
        <f t="shared" ref="M124:M141" si="2">""""&amp;IF(D124="","ex:"&amp;C124,IF(D124="jsonld","@"&amp;C124,D124&amp;":"&amp;C124))&amp;""": """""&amp;","</f>
        <v>"@id": "",</v>
      </c>
    </row>
    <row r="125" spans="1:13" x14ac:dyDescent="0.25">
      <c r="A125" s="8" t="s">
        <v>812</v>
      </c>
      <c r="B125" s="7"/>
      <c r="C125" s="7" t="s">
        <v>225</v>
      </c>
      <c r="D125" s="7" t="s">
        <v>497</v>
      </c>
      <c r="E125" s="7" t="s">
        <v>811</v>
      </c>
      <c r="F125" s="7"/>
      <c r="G125" s="7"/>
      <c r="H125" s="7"/>
      <c r="M125" t="str">
        <f t="shared" si="2"/>
        <v>"@type": "",</v>
      </c>
    </row>
    <row r="126" spans="1:13" x14ac:dyDescent="0.25">
      <c r="A126" s="8"/>
      <c r="B126" s="7"/>
      <c r="C126" s="7" t="s">
        <v>223</v>
      </c>
      <c r="D126" s="7" t="s">
        <v>492</v>
      </c>
      <c r="E126" s="7"/>
      <c r="F126" s="7"/>
      <c r="G126" s="7"/>
      <c r="H126" s="7"/>
      <c r="M126" t="str">
        <f t="shared" si="2"/>
        <v>"schema:name": "",</v>
      </c>
    </row>
    <row r="127" spans="1:13" x14ac:dyDescent="0.25">
      <c r="A127" s="8"/>
      <c r="B127" s="7"/>
      <c r="C127" s="7" t="s">
        <v>264</v>
      </c>
      <c r="D127" s="7" t="s">
        <v>492</v>
      </c>
      <c r="E127" s="7"/>
      <c r="F127" s="7"/>
      <c r="G127" s="7"/>
      <c r="H127" s="7"/>
      <c r="M127" t="str">
        <f t="shared" si="2"/>
        <v>"schema:description": "",</v>
      </c>
    </row>
    <row r="128" spans="1:13" x14ac:dyDescent="0.25">
      <c r="A128" s="8"/>
      <c r="B128" s="7"/>
      <c r="C128" s="7" t="s">
        <v>592</v>
      </c>
      <c r="D128" s="7"/>
      <c r="E128" s="7" t="s">
        <v>825</v>
      </c>
      <c r="F128" s="7"/>
      <c r="G128" s="7"/>
      <c r="H128" s="7"/>
      <c r="M128" t="str">
        <f t="shared" si="2"/>
        <v>"ex:task_kind": "",</v>
      </c>
    </row>
    <row r="129" spans="1:13" x14ac:dyDescent="0.25">
      <c r="A129" s="8"/>
      <c r="B129" s="7"/>
      <c r="C129" s="7" t="s">
        <v>593</v>
      </c>
      <c r="D129" s="7"/>
      <c r="E129" s="7"/>
      <c r="F129" s="7"/>
      <c r="G129" s="7"/>
      <c r="H129" s="7"/>
      <c r="M129" t="str">
        <f t="shared" si="2"/>
        <v>"ex:task_id": "",</v>
      </c>
    </row>
    <row r="130" spans="1:13" x14ac:dyDescent="0.25">
      <c r="A130" s="8"/>
      <c r="B130" s="7"/>
      <c r="C130" s="7" t="s">
        <v>594</v>
      </c>
      <c r="D130" s="7"/>
      <c r="E130" s="7" t="s">
        <v>1010</v>
      </c>
      <c r="F130" s="7"/>
      <c r="G130" s="7"/>
      <c r="H130" s="7"/>
      <c r="M130" t="str">
        <f t="shared" si="2"/>
        <v>"ex:equipment_id": "",</v>
      </c>
    </row>
    <row r="131" spans="1:13" x14ac:dyDescent="0.25">
      <c r="A131" s="8"/>
      <c r="B131" s="7"/>
      <c r="C131" s="7" t="s">
        <v>1020</v>
      </c>
      <c r="D131" s="7"/>
      <c r="E131" s="7"/>
      <c r="F131" s="7"/>
      <c r="G131" s="7"/>
      <c r="H131" s="7"/>
      <c r="M131" t="str">
        <f t="shared" si="2"/>
        <v>"ex:task_number/startTime": "",</v>
      </c>
    </row>
    <row r="132" spans="1:13" x14ac:dyDescent="0.25">
      <c r="A132" s="8"/>
      <c r="B132" s="7"/>
      <c r="C132" s="7" t="s">
        <v>337</v>
      </c>
      <c r="D132" s="7"/>
      <c r="E132" s="7" t="s">
        <v>1010</v>
      </c>
      <c r="F132" s="7"/>
      <c r="G132" s="7"/>
      <c r="H132" s="7"/>
      <c r="M132" t="str">
        <f t="shared" si="2"/>
        <v>"ex:sourceID": "",</v>
      </c>
    </row>
    <row r="133" spans="1:13" x14ac:dyDescent="0.25">
      <c r="A133" s="8"/>
      <c r="B133" s="7"/>
      <c r="C133" s="7" t="s">
        <v>338</v>
      </c>
      <c r="D133" s="7"/>
      <c r="E133" s="7"/>
      <c r="F133" s="7"/>
      <c r="G133" s="7"/>
      <c r="H133" s="7"/>
      <c r="M133" t="str">
        <f t="shared" si="2"/>
        <v>"ex:destinationID": "",</v>
      </c>
    </row>
    <row r="134" spans="1:13" x14ac:dyDescent="0.25">
      <c r="A134" s="8"/>
      <c r="B134" s="7"/>
      <c r="C134" s="7" t="s">
        <v>1019</v>
      </c>
      <c r="D134" s="7"/>
      <c r="E134" s="7"/>
      <c r="F134" s="7"/>
      <c r="G134" s="7"/>
      <c r="H134" s="7" t="s">
        <v>930</v>
      </c>
      <c r="M134" t="str">
        <f t="shared" si="2"/>
        <v>"ex:hasTransferredStream": "",</v>
      </c>
    </row>
    <row r="135" spans="1:13" x14ac:dyDescent="0.25">
      <c r="A135" s="8"/>
      <c r="B135" s="7"/>
      <c r="C135" s="7" t="s">
        <v>339</v>
      </c>
      <c r="D135" s="7"/>
      <c r="E135" s="7" t="s">
        <v>1011</v>
      </c>
      <c r="F135" s="7"/>
      <c r="G135" s="7"/>
      <c r="H135" s="7"/>
      <c r="M135" t="str">
        <f t="shared" si="2"/>
        <v>"ex:transferType": "",</v>
      </c>
    </row>
    <row r="136" spans="1:13" x14ac:dyDescent="0.25">
      <c r="A136" s="8"/>
      <c r="B136" s="7"/>
      <c r="C136" s="7" t="s">
        <v>340</v>
      </c>
      <c r="D136" s="7"/>
      <c r="E136" s="7" t="s">
        <v>1010</v>
      </c>
      <c r="F136" s="7"/>
      <c r="G136" s="7"/>
      <c r="H136" s="7"/>
      <c r="M136" t="str">
        <f t="shared" si="2"/>
        <v>"ex:amount": "",</v>
      </c>
    </row>
    <row r="137" spans="1:13" x14ac:dyDescent="0.25">
      <c r="A137" s="8"/>
      <c r="B137" s="7"/>
      <c r="C137" s="7" t="s">
        <v>341</v>
      </c>
      <c r="D137" s="7"/>
      <c r="E137" s="7" t="s">
        <v>1010</v>
      </c>
      <c r="F137" s="7"/>
      <c r="G137" s="7"/>
      <c r="H137" s="7"/>
      <c r="M137" t="str">
        <f t="shared" si="2"/>
        <v>"ex:flowRate": "",</v>
      </c>
    </row>
    <row r="138" spans="1:13" x14ac:dyDescent="0.25">
      <c r="A138" s="8"/>
      <c r="B138" s="7"/>
      <c r="C138" s="7" t="s">
        <v>342</v>
      </c>
      <c r="D138" s="7"/>
      <c r="E138" s="7"/>
      <c r="F138" s="7"/>
      <c r="G138" s="7"/>
      <c r="H138" s="7"/>
      <c r="M138" t="str">
        <f t="shared" si="2"/>
        <v>"ex:duration": "",</v>
      </c>
    </row>
    <row r="139" spans="1:13" x14ac:dyDescent="0.25">
      <c r="A139" s="8"/>
      <c r="B139" s="7"/>
      <c r="C139" s="7" t="s">
        <v>343</v>
      </c>
      <c r="D139" s="7"/>
      <c r="E139" s="7" t="s">
        <v>1013</v>
      </c>
      <c r="F139" s="7"/>
      <c r="G139" s="7"/>
      <c r="H139" s="7"/>
      <c r="M139" t="str">
        <f t="shared" si="2"/>
        <v>"ex:stopCondition": "",</v>
      </c>
    </row>
    <row r="140" spans="1:13" x14ac:dyDescent="0.25">
      <c r="A140" s="8"/>
      <c r="B140" s="7"/>
      <c r="C140" s="7" t="s">
        <v>826</v>
      </c>
      <c r="D140" s="7"/>
      <c r="E140" s="7" t="s">
        <v>1012</v>
      </c>
      <c r="F140" s="7"/>
      <c r="G140" s="7"/>
      <c r="H140" s="7"/>
      <c r="M140" t="str">
        <f t="shared" si="2"/>
        <v>"ex:transferredPhase": "",</v>
      </c>
    </row>
    <row r="141" spans="1:13" x14ac:dyDescent="0.25">
      <c r="A141" s="8"/>
      <c r="M141" t="str">
        <f t="shared" si="2"/>
        <v>"ex:": "",</v>
      </c>
    </row>
    <row r="144" spans="1:13" x14ac:dyDescent="0.25">
      <c r="A144" s="7" t="s">
        <v>988</v>
      </c>
      <c r="B144" s="7"/>
      <c r="C144" s="7" t="s">
        <v>498</v>
      </c>
      <c r="D144" s="7" t="s">
        <v>497</v>
      </c>
      <c r="E144" s="7"/>
      <c r="M144" t="str">
        <f>""""&amp;IF(D144="","ex:"&amp;C144,IF(D144="jsonld","@"&amp;C144,D144&amp;":"&amp;C144))&amp;""": """""&amp;","</f>
        <v>"@id": "",</v>
      </c>
    </row>
    <row r="145" spans="1:13" x14ac:dyDescent="0.25">
      <c r="A145" s="7"/>
      <c r="B145" s="7"/>
      <c r="C145" s="7" t="s">
        <v>225</v>
      </c>
      <c r="D145" s="7" t="s">
        <v>497</v>
      </c>
      <c r="E145" s="7"/>
      <c r="M145" t="str">
        <f>""""&amp;IF(D145="","ex:"&amp;C145,IF(D145="jsonld","@"&amp;C145,D145&amp;":"&amp;C145))&amp;""": """""&amp;","</f>
        <v>"@type": "",</v>
      </c>
    </row>
    <row r="146" spans="1:13" x14ac:dyDescent="0.25">
      <c r="A146" s="7"/>
      <c r="B146" s="7"/>
      <c r="C146" s="7" t="s">
        <v>223</v>
      </c>
      <c r="D146" s="7" t="s">
        <v>492</v>
      </c>
      <c r="E146" s="7"/>
    </row>
    <row r="147" spans="1:13" x14ac:dyDescent="0.25">
      <c r="A147" s="7"/>
      <c r="B147" s="7"/>
      <c r="C147" s="7" t="s">
        <v>264</v>
      </c>
      <c r="D147" s="7" t="s">
        <v>492</v>
      </c>
      <c r="E147" s="7"/>
    </row>
    <row r="148" spans="1:13" x14ac:dyDescent="0.25">
      <c r="A148" s="7"/>
      <c r="B148" s="7"/>
      <c r="C148" s="7" t="s">
        <v>11</v>
      </c>
      <c r="D148" s="7"/>
      <c r="E148" s="7" t="s">
        <v>989</v>
      </c>
    </row>
    <row r="149" spans="1:13" x14ac:dyDescent="0.25">
      <c r="A149" s="8"/>
    </row>
    <row r="154" spans="1:13" x14ac:dyDescent="0.25">
      <c r="A154" s="7" t="s">
        <v>235</v>
      </c>
      <c r="B154" s="7" t="s">
        <v>956</v>
      </c>
      <c r="C154" s="7" t="s">
        <v>498</v>
      </c>
      <c r="D154" s="7" t="s">
        <v>497</v>
      </c>
      <c r="E154" s="7"/>
      <c r="F154" s="7"/>
      <c r="G154" s="7"/>
      <c r="M154" t="str">
        <f t="shared" ref="M154:M183" si="3">""""&amp;IF(D154="","ex:"&amp;C154,IF(D154="jsonld","@"&amp;C154,D154&amp;":"&amp;C154))&amp;""": """""&amp;","</f>
        <v>"@id": "",</v>
      </c>
    </row>
    <row r="155" spans="1:13" x14ac:dyDescent="0.25">
      <c r="A155" s="7"/>
      <c r="B155" s="7"/>
      <c r="C155" s="7" t="s">
        <v>225</v>
      </c>
      <c r="D155" s="7" t="s">
        <v>497</v>
      </c>
      <c r="E155" s="7"/>
      <c r="F155" s="7"/>
      <c r="G155" s="7" t="s">
        <v>235</v>
      </c>
      <c r="M155" t="str">
        <f t="shared" si="3"/>
        <v>"@type": "",</v>
      </c>
    </row>
    <row r="156" spans="1:13" x14ac:dyDescent="0.25">
      <c r="A156" s="7"/>
      <c r="B156" s="7"/>
      <c r="C156" s="7" t="s">
        <v>223</v>
      </c>
      <c r="D156" s="7" t="s">
        <v>492</v>
      </c>
      <c r="E156" s="7"/>
      <c r="F156" s="7"/>
      <c r="G156" s="7" t="s">
        <v>959</v>
      </c>
      <c r="M156" t="str">
        <f t="shared" si="3"/>
        <v>"schema:name": "",</v>
      </c>
    </row>
    <row r="157" spans="1:13" x14ac:dyDescent="0.25">
      <c r="A157" s="7"/>
      <c r="B157" s="7"/>
      <c r="C157" s="7" t="s">
        <v>264</v>
      </c>
      <c r="D157" s="7" t="s">
        <v>492</v>
      </c>
      <c r="E157" s="7"/>
      <c r="F157" s="7"/>
      <c r="G157" s="7"/>
      <c r="M157" t="str">
        <f t="shared" si="3"/>
        <v>"schema:description": "",</v>
      </c>
    </row>
    <row r="158" spans="1:13" x14ac:dyDescent="0.25">
      <c r="A158" s="7"/>
      <c r="B158" s="7"/>
      <c r="C158" s="7" t="s">
        <v>960</v>
      </c>
      <c r="D158" s="7"/>
      <c r="E158" s="7"/>
      <c r="F158" s="7"/>
      <c r="G158" s="7" t="s">
        <v>964</v>
      </c>
      <c r="M158" t="str">
        <f t="shared" si="3"/>
        <v>"ex:hasStartEvent": "",</v>
      </c>
    </row>
    <row r="159" spans="1:13" x14ac:dyDescent="0.25">
      <c r="A159" s="7"/>
      <c r="B159" s="7"/>
      <c r="C159" s="7" t="s">
        <v>961</v>
      </c>
      <c r="D159" s="7"/>
      <c r="E159" s="7"/>
      <c r="F159" s="7"/>
      <c r="G159" s="7" t="s">
        <v>965</v>
      </c>
      <c r="M159" t="str">
        <f t="shared" si="3"/>
        <v>"ex:hasEndEvent": "",</v>
      </c>
    </row>
    <row r="160" spans="1:13" x14ac:dyDescent="0.25">
      <c r="A160" s="7"/>
      <c r="B160" s="7"/>
      <c r="C160" s="7" t="s">
        <v>962</v>
      </c>
      <c r="D160" s="7"/>
      <c r="E160" s="7"/>
      <c r="F160" s="7"/>
      <c r="G160" s="7" t="s">
        <v>968</v>
      </c>
      <c r="L160" t="s">
        <v>963</v>
      </c>
      <c r="M160" t="str">
        <f t="shared" si="3"/>
        <v>"ex:hasEvents": "",</v>
      </c>
    </row>
    <row r="161" spans="1:13" x14ac:dyDescent="0.25">
      <c r="A161" s="7"/>
      <c r="B161" s="7"/>
      <c r="C161" s="7"/>
      <c r="D161" s="7"/>
      <c r="E161" s="7"/>
      <c r="F161" s="7"/>
      <c r="G161" s="7"/>
      <c r="M161" t="str">
        <f t="shared" si="3"/>
        <v>"ex:": "",</v>
      </c>
    </row>
    <row r="162" spans="1:13" x14ac:dyDescent="0.25">
      <c r="A162" s="7"/>
      <c r="B162" s="7"/>
      <c r="C162" s="7"/>
      <c r="D162" s="7"/>
      <c r="E162" s="7"/>
      <c r="F162" s="7"/>
      <c r="G162" s="7"/>
      <c r="M162" t="str">
        <f t="shared" si="3"/>
        <v>"ex:": "",</v>
      </c>
    </row>
    <row r="163" spans="1:13" x14ac:dyDescent="0.25">
      <c r="A163" s="7"/>
      <c r="B163" s="7"/>
      <c r="C163" s="7"/>
      <c r="D163" s="7"/>
      <c r="E163" s="7"/>
      <c r="F163" s="7"/>
      <c r="G163" s="7"/>
      <c r="M163" t="str">
        <f t="shared" si="3"/>
        <v>"ex:": "",</v>
      </c>
    </row>
    <row r="164" spans="1:13" x14ac:dyDescent="0.25">
      <c r="A164" s="7"/>
      <c r="B164" s="7"/>
      <c r="C164" s="7"/>
      <c r="D164" s="7"/>
      <c r="E164" s="7"/>
      <c r="F164" s="7"/>
      <c r="G164" s="7"/>
      <c r="M164" t="str">
        <f t="shared" si="3"/>
        <v>"ex:": "",</v>
      </c>
    </row>
    <row r="165" spans="1:13" x14ac:dyDescent="0.25">
      <c r="A165" s="7"/>
      <c r="B165" s="7"/>
      <c r="C165" s="7"/>
      <c r="D165" s="7"/>
      <c r="E165" s="7"/>
      <c r="F165" s="7"/>
      <c r="G165" s="7"/>
      <c r="M165" t="str">
        <f t="shared" si="3"/>
        <v>"ex:": "",</v>
      </c>
    </row>
    <row r="166" spans="1:13" x14ac:dyDescent="0.25">
      <c r="A166" s="7"/>
      <c r="B166" s="7"/>
      <c r="C166" s="7"/>
      <c r="D166" s="7"/>
      <c r="E166" s="7"/>
      <c r="F166" s="7"/>
      <c r="G166" s="7"/>
      <c r="M166" t="str">
        <f t="shared" si="3"/>
        <v>"ex:": "",</v>
      </c>
    </row>
    <row r="167" spans="1:13" x14ac:dyDescent="0.25">
      <c r="A167" s="7" t="s">
        <v>954</v>
      </c>
      <c r="B167" s="7" t="s">
        <v>957</v>
      </c>
      <c r="C167" s="7" t="s">
        <v>498</v>
      </c>
      <c r="D167" s="7" t="s">
        <v>497</v>
      </c>
      <c r="E167" s="7"/>
      <c r="F167" s="7"/>
      <c r="G167" s="7" t="s">
        <v>969</v>
      </c>
      <c r="M167" t="str">
        <f t="shared" si="3"/>
        <v>"@id": "",</v>
      </c>
    </row>
    <row r="168" spans="1:13" x14ac:dyDescent="0.25">
      <c r="A168" s="7"/>
      <c r="B168" s="7"/>
      <c r="C168" s="7" t="s">
        <v>225</v>
      </c>
      <c r="D168" s="7" t="s">
        <v>497</v>
      </c>
      <c r="E168" s="7"/>
      <c r="F168" s="7"/>
      <c r="G168" s="7"/>
      <c r="M168" t="str">
        <f t="shared" si="3"/>
        <v>"@type": "",</v>
      </c>
    </row>
    <row r="169" spans="1:13" x14ac:dyDescent="0.25">
      <c r="A169" s="7"/>
      <c r="B169" s="7"/>
      <c r="C169" s="7" t="s">
        <v>223</v>
      </c>
      <c r="D169" s="7" t="s">
        <v>492</v>
      </c>
      <c r="E169" s="7"/>
      <c r="F169" s="7"/>
      <c r="G169" s="7"/>
      <c r="M169" t="str">
        <f t="shared" si="3"/>
        <v>"schema:name": "",</v>
      </c>
    </row>
    <row r="170" spans="1:13" x14ac:dyDescent="0.25">
      <c r="A170" s="7"/>
      <c r="B170" s="7"/>
      <c r="C170" s="7" t="s">
        <v>264</v>
      </c>
      <c r="D170" s="7" t="s">
        <v>492</v>
      </c>
      <c r="E170" s="7"/>
      <c r="F170" s="7"/>
      <c r="G170" s="7"/>
      <c r="M170" t="str">
        <f t="shared" si="3"/>
        <v>"schema:description": "",</v>
      </c>
    </row>
    <row r="171" spans="1:13" x14ac:dyDescent="0.25">
      <c r="A171" s="7"/>
      <c r="B171" s="7"/>
      <c r="C171" s="7" t="s">
        <v>966</v>
      </c>
      <c r="D171" s="7"/>
      <c r="E171" s="7"/>
      <c r="F171" s="7"/>
      <c r="G171" s="7" t="s">
        <v>970</v>
      </c>
      <c r="M171" t="str">
        <f t="shared" si="3"/>
        <v>"ex:followsEvent": "",</v>
      </c>
    </row>
    <row r="172" spans="1:13" x14ac:dyDescent="0.25">
      <c r="A172" s="7"/>
      <c r="B172" s="7"/>
      <c r="C172" s="7" t="s">
        <v>967</v>
      </c>
      <c r="D172" s="7"/>
      <c r="E172" s="7"/>
      <c r="F172" s="7"/>
      <c r="G172" s="7" t="s">
        <v>971</v>
      </c>
      <c r="M172" t="str">
        <f t="shared" si="3"/>
        <v>"ex:hasRetentionTime": "",</v>
      </c>
    </row>
    <row r="173" spans="1:13" x14ac:dyDescent="0.25">
      <c r="A173" s="7"/>
      <c r="B173" s="7"/>
      <c r="C173" s="7" t="s">
        <v>972</v>
      </c>
      <c r="D173" s="7"/>
      <c r="E173" s="7"/>
      <c r="F173" s="7"/>
      <c r="G173" s="7" t="s">
        <v>973</v>
      </c>
      <c r="M173" t="str">
        <f t="shared" si="3"/>
        <v>"ex:isPartInTask": "",</v>
      </c>
    </row>
    <row r="174" spans="1:13" x14ac:dyDescent="0.25">
      <c r="A174" s="7"/>
      <c r="B174" s="7"/>
      <c r="C174" s="7" t="s">
        <v>974</v>
      </c>
      <c r="D174" s="7"/>
      <c r="E174" s="7" t="s">
        <v>975</v>
      </c>
      <c r="F174" s="7"/>
      <c r="G174" s="7"/>
      <c r="M174" t="str">
        <f t="shared" si="3"/>
        <v>"ex:happensAtTime": "",</v>
      </c>
    </row>
    <row r="175" spans="1:13" x14ac:dyDescent="0.25">
      <c r="A175" s="7"/>
      <c r="B175" s="7"/>
      <c r="C175" s="7" t="s">
        <v>976</v>
      </c>
      <c r="D175" s="7"/>
      <c r="E175" s="7"/>
      <c r="F175" s="7"/>
      <c r="G175" s="7"/>
      <c r="L175" t="s">
        <v>980</v>
      </c>
      <c r="M175" t="str">
        <f t="shared" si="3"/>
        <v>"ex:startsStream": "",</v>
      </c>
    </row>
    <row r="176" spans="1:13" x14ac:dyDescent="0.25">
      <c r="A176" s="7"/>
      <c r="B176" s="7"/>
      <c r="C176" s="7" t="s">
        <v>977</v>
      </c>
      <c r="D176" s="7"/>
      <c r="E176" s="7"/>
      <c r="F176" s="7"/>
      <c r="G176" s="7"/>
      <c r="M176" t="str">
        <f t="shared" si="3"/>
        <v>"ex:endsStream": "",</v>
      </c>
    </row>
    <row r="177" spans="1:16" x14ac:dyDescent="0.25">
      <c r="A177" s="7"/>
      <c r="B177" s="7"/>
      <c r="C177" s="7" t="s">
        <v>978</v>
      </c>
      <c r="D177" s="7"/>
      <c r="E177" s="7"/>
      <c r="F177" s="7"/>
      <c r="G177" s="7" t="s">
        <v>982</v>
      </c>
      <c r="M177" t="str">
        <f t="shared" si="3"/>
        <v>"ex:startsPhase": "",</v>
      </c>
    </row>
    <row r="178" spans="1:16" x14ac:dyDescent="0.25">
      <c r="A178" s="7"/>
      <c r="B178" s="7"/>
      <c r="C178" s="7" t="s">
        <v>979</v>
      </c>
      <c r="D178" s="7"/>
      <c r="E178" s="7"/>
      <c r="F178" s="7"/>
      <c r="G178" s="7"/>
      <c r="M178" t="str">
        <f t="shared" si="3"/>
        <v>"ex:endsPhase": "",</v>
      </c>
    </row>
    <row r="179" spans="1:16" x14ac:dyDescent="0.25">
      <c r="A179" s="7"/>
      <c r="B179" s="7"/>
      <c r="C179" s="7"/>
      <c r="D179" s="7"/>
      <c r="E179" s="7"/>
      <c r="F179" s="7"/>
      <c r="G179" s="7"/>
      <c r="M179" t="str">
        <f t="shared" si="3"/>
        <v>"ex:": "",</v>
      </c>
    </row>
    <row r="180" spans="1:16" x14ac:dyDescent="0.25">
      <c r="A180" s="8"/>
      <c r="M180" t="str">
        <f t="shared" si="3"/>
        <v>"ex:": "",</v>
      </c>
    </row>
    <row r="181" spans="1:16" x14ac:dyDescent="0.25">
      <c r="A181" s="8"/>
      <c r="M181" t="str">
        <f t="shared" si="3"/>
        <v>"ex:": "",</v>
      </c>
    </row>
    <row r="182" spans="1:16" x14ac:dyDescent="0.25">
      <c r="A182" s="8"/>
      <c r="M182" t="str">
        <f t="shared" si="3"/>
        <v>"ex:": "",</v>
      </c>
    </row>
    <row r="183" spans="1:16" x14ac:dyDescent="0.25">
      <c r="A183" s="8"/>
      <c r="M183" t="str">
        <f t="shared" si="3"/>
        <v>"ex:": "",</v>
      </c>
    </row>
    <row r="186" spans="1:16" s="31" customFormat="1" x14ac:dyDescent="0.25">
      <c r="A186" s="31" t="s">
        <v>1090</v>
      </c>
      <c r="P186" s="28"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9" customFormat="1" x14ac:dyDescent="0.25">
      <c r="P187" s="29" t="str">
        <f t="shared" si="4"/>
        <v/>
      </c>
    </row>
    <row r="188" spans="1:16" x14ac:dyDescent="0.25">
      <c r="A188" s="8" t="s">
        <v>743</v>
      </c>
      <c r="C188" t="s">
        <v>498</v>
      </c>
      <c r="D188" t="s">
        <v>497</v>
      </c>
      <c r="P188" s="8" t="str">
        <f t="shared" si="4"/>
        <v xml:space="preserve">"@id": </v>
      </c>
    </row>
    <row r="189" spans="1:16" x14ac:dyDescent="0.25">
      <c r="A189" s="8"/>
      <c r="C189" t="s">
        <v>225</v>
      </c>
      <c r="D189" t="s">
        <v>497</v>
      </c>
      <c r="E189" t="s">
        <v>743</v>
      </c>
      <c r="P189" s="8" t="str">
        <f t="shared" si="4"/>
        <v xml:space="preserve">"@type": </v>
      </c>
    </row>
    <row r="190" spans="1:16" x14ac:dyDescent="0.25">
      <c r="A190" s="8"/>
      <c r="C190" t="s">
        <v>223</v>
      </c>
      <c r="D190" t="s">
        <v>492</v>
      </c>
      <c r="P190" s="8" t="str">
        <f t="shared" si="4"/>
        <v xml:space="preserve">"schema:name": </v>
      </c>
    </row>
    <row r="191" spans="1:16" x14ac:dyDescent="0.25">
      <c r="A191" s="8"/>
      <c r="C191" t="s">
        <v>264</v>
      </c>
      <c r="D191" t="s">
        <v>492</v>
      </c>
      <c r="P191" s="8" t="str">
        <f t="shared" si="4"/>
        <v xml:space="preserve">"schema:description": </v>
      </c>
    </row>
    <row r="192" spans="1:16" x14ac:dyDescent="0.25">
      <c r="A192" s="8"/>
      <c r="C192" t="s">
        <v>617</v>
      </c>
      <c r="E192" t="s">
        <v>763</v>
      </c>
      <c r="P192" s="8" t="str">
        <f t="shared" si="4"/>
        <v xml:space="preserve">"ex:describesContext": </v>
      </c>
    </row>
    <row r="193" spans="1:16" x14ac:dyDescent="0.25">
      <c r="A193" s="8"/>
      <c r="C193" t="s">
        <v>629</v>
      </c>
      <c r="D193" t="s">
        <v>738</v>
      </c>
      <c r="E193" t="s">
        <v>744</v>
      </c>
      <c r="H193" t="s">
        <v>374</v>
      </c>
      <c r="P193" s="8" t="str">
        <f t="shared" si="4"/>
        <v xml:space="preserve">"rdf:value": </v>
      </c>
    </row>
    <row r="194" spans="1:16" x14ac:dyDescent="0.25">
      <c r="A194" s="8"/>
      <c r="P194" s="8" t="str">
        <f t="shared" si="4"/>
        <v/>
      </c>
    </row>
    <row r="195" spans="1:16" x14ac:dyDescent="0.25">
      <c r="A195" s="8"/>
      <c r="P195" s="8" t="str">
        <f t="shared" si="4"/>
        <v/>
      </c>
    </row>
    <row r="196" spans="1:16" x14ac:dyDescent="0.25">
      <c r="A196" s="8"/>
      <c r="P196" s="8" t="str">
        <f t="shared" si="4"/>
        <v/>
      </c>
    </row>
    <row r="197" spans="1:16" s="29" customFormat="1" x14ac:dyDescent="0.25">
      <c r="P197" s="29" t="str">
        <f t="shared" si="4"/>
        <v/>
      </c>
    </row>
    <row r="198" spans="1:16" x14ac:dyDescent="0.25">
      <c r="A198" s="8" t="s">
        <v>745</v>
      </c>
      <c r="C198" t="s">
        <v>498</v>
      </c>
      <c r="D198" t="s">
        <v>497</v>
      </c>
      <c r="P198" s="8" t="str">
        <f t="shared" si="4"/>
        <v xml:space="preserve">"@id": </v>
      </c>
    </row>
    <row r="199" spans="1:16" x14ac:dyDescent="0.25">
      <c r="A199" s="8"/>
      <c r="C199" t="s">
        <v>225</v>
      </c>
      <c r="D199" t="s">
        <v>497</v>
      </c>
      <c r="E199" t="s">
        <v>746</v>
      </c>
      <c r="M199" t="s">
        <v>747</v>
      </c>
      <c r="P199" s="8" t="str">
        <f t="shared" si="4"/>
        <v xml:space="preserve">"@type": </v>
      </c>
    </row>
    <row r="200" spans="1:16" x14ac:dyDescent="0.25">
      <c r="A200" s="8"/>
      <c r="C200" t="s">
        <v>223</v>
      </c>
      <c r="D200" t="s">
        <v>492</v>
      </c>
      <c r="P200" s="8" t="str">
        <f t="shared" si="4"/>
        <v xml:space="preserve">"schema:name": </v>
      </c>
    </row>
    <row r="201" spans="1:16" x14ac:dyDescent="0.25">
      <c r="A201" s="8"/>
      <c r="C201" t="s">
        <v>264</v>
      </c>
      <c r="D201" t="s">
        <v>492</v>
      </c>
      <c r="P201" s="8" t="str">
        <f t="shared" si="4"/>
        <v xml:space="preserve">"schema:description": </v>
      </c>
    </row>
    <row r="202" spans="1:16" x14ac:dyDescent="0.25">
      <c r="A202" s="8"/>
      <c r="C202" t="s">
        <v>617</v>
      </c>
      <c r="E202" t="s">
        <v>761</v>
      </c>
      <c r="P202" s="8" t="str">
        <f t="shared" si="4"/>
        <v xml:space="preserve">"ex:describesContext": </v>
      </c>
    </row>
    <row r="203" spans="1:16" x14ac:dyDescent="0.25">
      <c r="A203" s="8"/>
      <c r="C203" t="s">
        <v>629</v>
      </c>
      <c r="D203" t="s">
        <v>738</v>
      </c>
      <c r="E203" t="s">
        <v>748</v>
      </c>
      <c r="P203" s="8" t="str">
        <f t="shared" si="4"/>
        <v xml:space="preserve">"rdf:value": </v>
      </c>
    </row>
    <row r="204" spans="1:16" x14ac:dyDescent="0.25">
      <c r="A204" s="8"/>
      <c r="P204" s="8" t="str">
        <f t="shared" si="4"/>
        <v/>
      </c>
    </row>
    <row r="205" spans="1:16" x14ac:dyDescent="0.25">
      <c r="A205" s="8"/>
      <c r="P205" s="8" t="str">
        <f t="shared" si="4"/>
        <v/>
      </c>
    </row>
    <row r="206" spans="1:16" x14ac:dyDescent="0.25">
      <c r="A206" s="8"/>
      <c r="P206" s="8" t="str">
        <f t="shared" si="4"/>
        <v/>
      </c>
    </row>
    <row r="207" spans="1:16" s="29" customFormat="1" x14ac:dyDescent="0.25">
      <c r="P207" s="29" t="str">
        <f t="shared" si="4"/>
        <v/>
      </c>
    </row>
    <row r="208" spans="1:16" x14ac:dyDescent="0.25">
      <c r="A208" s="8" t="s">
        <v>755</v>
      </c>
      <c r="C208" t="s">
        <v>498</v>
      </c>
      <c r="D208" t="s">
        <v>497</v>
      </c>
      <c r="P208" s="8" t="str">
        <f t="shared" si="4"/>
        <v xml:space="preserve">"@id": </v>
      </c>
    </row>
    <row r="209" spans="1:16" x14ac:dyDescent="0.25">
      <c r="A209" s="8"/>
      <c r="C209" t="s">
        <v>225</v>
      </c>
      <c r="D209" t="s">
        <v>497</v>
      </c>
      <c r="E209" t="s">
        <v>752</v>
      </c>
      <c r="P209" s="8" t="str">
        <f t="shared" si="4"/>
        <v xml:space="preserve">"@type": </v>
      </c>
    </row>
    <row r="210" spans="1:16" x14ac:dyDescent="0.25">
      <c r="A210" s="8"/>
      <c r="C210" t="s">
        <v>223</v>
      </c>
      <c r="D210" t="s">
        <v>492</v>
      </c>
      <c r="P210" s="8" t="str">
        <f t="shared" si="4"/>
        <v xml:space="preserve">"schema:name": </v>
      </c>
    </row>
    <row r="211" spans="1:16" x14ac:dyDescent="0.25">
      <c r="A211" s="8"/>
      <c r="C211" t="s">
        <v>264</v>
      </c>
      <c r="D211" t="s">
        <v>492</v>
      </c>
      <c r="P211" s="8" t="str">
        <f t="shared" si="4"/>
        <v xml:space="preserve">"schema:description": </v>
      </c>
    </row>
    <row r="212" spans="1:16" x14ac:dyDescent="0.25">
      <c r="A212" s="8"/>
      <c r="C212" t="s">
        <v>617</v>
      </c>
      <c r="E212" t="s">
        <v>762</v>
      </c>
      <c r="P212" s="8" t="str">
        <f t="shared" si="4"/>
        <v xml:space="preserve">"ex:describesContext": </v>
      </c>
    </row>
    <row r="213" spans="1:16" x14ac:dyDescent="0.25">
      <c r="A213" s="8"/>
      <c r="C213" t="s">
        <v>629</v>
      </c>
      <c r="D213" t="s">
        <v>738</v>
      </c>
      <c r="E213" t="s">
        <v>750</v>
      </c>
      <c r="F213" t="s">
        <v>751</v>
      </c>
      <c r="P213" s="8" t="str">
        <f t="shared" si="4"/>
        <v xml:space="preserve">"rdf:value": </v>
      </c>
    </row>
    <row r="214" spans="1:16" x14ac:dyDescent="0.25">
      <c r="A214" s="8"/>
      <c r="E214" t="s">
        <v>749</v>
      </c>
      <c r="P214" s="8" t="str">
        <f t="shared" si="4"/>
        <v/>
      </c>
    </row>
    <row r="215" spans="1:16" x14ac:dyDescent="0.25">
      <c r="A215" s="8"/>
      <c r="P215" s="8" t="str">
        <f t="shared" si="4"/>
        <v/>
      </c>
    </row>
    <row r="216" spans="1:16" s="29" customFormat="1" x14ac:dyDescent="0.25">
      <c r="P216" s="29" t="str">
        <f t="shared" si="4"/>
        <v/>
      </c>
    </row>
    <row r="217" spans="1:16" x14ac:dyDescent="0.25">
      <c r="A217" s="8" t="s">
        <v>756</v>
      </c>
      <c r="C217" t="s">
        <v>498</v>
      </c>
      <c r="D217" t="s">
        <v>497</v>
      </c>
      <c r="P217" s="8" t="str">
        <f t="shared" si="4"/>
        <v xml:space="preserve">"@id": </v>
      </c>
    </row>
    <row r="218" spans="1:16" x14ac:dyDescent="0.25">
      <c r="A218" s="8"/>
      <c r="C218" t="s">
        <v>225</v>
      </c>
      <c r="D218" t="s">
        <v>497</v>
      </c>
      <c r="E218" t="s">
        <v>752</v>
      </c>
      <c r="P218" s="8"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8"/>
      <c r="C219" t="s">
        <v>223</v>
      </c>
      <c r="D219" t="s">
        <v>492</v>
      </c>
      <c r="P219" s="8" t="str">
        <f t="shared" si="5"/>
        <v xml:space="preserve">"schema:name": </v>
      </c>
    </row>
    <row r="220" spans="1:16" x14ac:dyDescent="0.25">
      <c r="A220" s="8"/>
      <c r="C220" t="s">
        <v>264</v>
      </c>
      <c r="D220" t="s">
        <v>492</v>
      </c>
      <c r="P220" s="8" t="str">
        <f t="shared" si="5"/>
        <v xml:space="preserve">"schema:description": </v>
      </c>
    </row>
    <row r="221" spans="1:16" x14ac:dyDescent="0.25">
      <c r="A221" s="8"/>
      <c r="C221" t="s">
        <v>617</v>
      </c>
      <c r="E221" t="s">
        <v>762</v>
      </c>
      <c r="P221" s="8" t="str">
        <f t="shared" si="5"/>
        <v xml:space="preserve">"ex:describesContext": </v>
      </c>
    </row>
    <row r="222" spans="1:16" x14ac:dyDescent="0.25">
      <c r="A222" s="8"/>
      <c r="C222" t="s">
        <v>629</v>
      </c>
      <c r="D222" t="s">
        <v>738</v>
      </c>
      <c r="E222" t="s">
        <v>750</v>
      </c>
      <c r="P222" s="8" t="str">
        <f t="shared" si="5"/>
        <v xml:space="preserve">"rdf:value": </v>
      </c>
    </row>
    <row r="223" spans="1:16" x14ac:dyDescent="0.25">
      <c r="A223" s="8"/>
      <c r="P223" s="8" t="str">
        <f t="shared" si="5"/>
        <v/>
      </c>
    </row>
    <row r="224" spans="1:16" x14ac:dyDescent="0.25">
      <c r="A224" s="8"/>
      <c r="P224" s="8" t="str">
        <f t="shared" si="5"/>
        <v/>
      </c>
    </row>
    <row r="225" spans="1:16" s="29" customFormat="1" x14ac:dyDescent="0.25">
      <c r="P225" s="29" t="str">
        <f t="shared" si="5"/>
        <v/>
      </c>
    </row>
    <row r="226" spans="1:16" x14ac:dyDescent="0.25">
      <c r="A226" s="7" t="s">
        <v>757</v>
      </c>
      <c r="B226" s="7"/>
      <c r="C226" s="7" t="s">
        <v>498</v>
      </c>
      <c r="D226" s="7" t="s">
        <v>497</v>
      </c>
      <c r="E226" s="7"/>
      <c r="L226" s="7"/>
      <c r="P226" s="8" t="str">
        <f t="shared" si="5"/>
        <v xml:space="preserve">"@id": </v>
      </c>
    </row>
    <row r="227" spans="1:16" x14ac:dyDescent="0.25">
      <c r="A227" s="7"/>
      <c r="B227" s="7"/>
      <c r="C227" s="7" t="s">
        <v>225</v>
      </c>
      <c r="D227" s="7" t="s">
        <v>497</v>
      </c>
      <c r="E227" s="7" t="s">
        <v>753</v>
      </c>
      <c r="L227" s="7"/>
      <c r="P227" s="8" t="str">
        <f t="shared" si="5"/>
        <v xml:space="preserve">"@type": </v>
      </c>
    </row>
    <row r="228" spans="1:16" x14ac:dyDescent="0.25">
      <c r="A228" s="7"/>
      <c r="B228" s="7"/>
      <c r="C228" s="7" t="s">
        <v>223</v>
      </c>
      <c r="D228" s="7" t="s">
        <v>492</v>
      </c>
      <c r="E228" s="7"/>
      <c r="L228" s="7"/>
      <c r="P228" s="8" t="str">
        <f t="shared" si="5"/>
        <v xml:space="preserve">"schema:name": </v>
      </c>
    </row>
    <row r="229" spans="1:16" x14ac:dyDescent="0.25">
      <c r="A229" s="7"/>
      <c r="B229" s="7"/>
      <c r="C229" s="7" t="s">
        <v>264</v>
      </c>
      <c r="D229" s="7" t="s">
        <v>492</v>
      </c>
      <c r="E229" s="7"/>
      <c r="L229" s="7"/>
      <c r="P229" s="8" t="str">
        <f t="shared" si="5"/>
        <v xml:space="preserve">"schema:description": </v>
      </c>
    </row>
    <row r="230" spans="1:16" x14ac:dyDescent="0.25">
      <c r="A230" s="7"/>
      <c r="B230" s="7"/>
      <c r="C230" s="7" t="s">
        <v>617</v>
      </c>
      <c r="D230" s="7"/>
      <c r="E230" s="7" t="s">
        <v>761</v>
      </c>
      <c r="L230" s="7"/>
      <c r="P230" s="8" t="str">
        <f t="shared" si="5"/>
        <v xml:space="preserve">"ex:describesContext": </v>
      </c>
    </row>
    <row r="231" spans="1:16" x14ac:dyDescent="0.25">
      <c r="A231" s="7"/>
      <c r="B231" s="7"/>
      <c r="C231" s="7" t="s">
        <v>629</v>
      </c>
      <c r="D231" s="7" t="s">
        <v>738</v>
      </c>
      <c r="E231" s="7" t="s">
        <v>754</v>
      </c>
      <c r="L231" s="7"/>
      <c r="P231" s="8" t="str">
        <f t="shared" si="5"/>
        <v xml:space="preserve">"rdf:value": </v>
      </c>
    </row>
    <row r="232" spans="1:16" x14ac:dyDescent="0.25">
      <c r="A232" s="8"/>
      <c r="C232" s="4"/>
      <c r="E232" t="s">
        <v>488</v>
      </c>
      <c r="P232" s="8" t="str">
        <f t="shared" si="5"/>
        <v/>
      </c>
    </row>
    <row r="233" spans="1:16" s="29" customFormat="1" x14ac:dyDescent="0.25">
      <c r="C233" s="30"/>
      <c r="P233" s="29" t="str">
        <f t="shared" si="5"/>
        <v/>
      </c>
    </row>
    <row r="234" spans="1:16" x14ac:dyDescent="0.25">
      <c r="A234" s="8" t="s">
        <v>758</v>
      </c>
      <c r="C234" t="s">
        <v>498</v>
      </c>
      <c r="D234" t="s">
        <v>497</v>
      </c>
      <c r="P234" s="8" t="str">
        <f t="shared" si="5"/>
        <v xml:space="preserve">"@id": </v>
      </c>
    </row>
    <row r="235" spans="1:16" x14ac:dyDescent="0.25">
      <c r="A235" s="8"/>
      <c r="C235" t="s">
        <v>225</v>
      </c>
      <c r="D235" t="s">
        <v>497</v>
      </c>
      <c r="E235" t="s">
        <v>759</v>
      </c>
      <c r="P235" s="8" t="str">
        <f t="shared" si="5"/>
        <v xml:space="preserve">"@type": </v>
      </c>
    </row>
    <row r="236" spans="1:16" x14ac:dyDescent="0.25">
      <c r="A236" s="8"/>
      <c r="C236" t="s">
        <v>223</v>
      </c>
      <c r="D236" t="s">
        <v>492</v>
      </c>
      <c r="P236" s="8" t="str">
        <f t="shared" si="5"/>
        <v xml:space="preserve">"schema:name": </v>
      </c>
    </row>
    <row r="237" spans="1:16" x14ac:dyDescent="0.25">
      <c r="A237" s="8"/>
      <c r="C237" t="s">
        <v>264</v>
      </c>
      <c r="D237" t="s">
        <v>492</v>
      </c>
      <c r="P237" s="8" t="str">
        <f t="shared" si="5"/>
        <v xml:space="preserve">"schema:description": </v>
      </c>
    </row>
    <row r="238" spans="1:16" x14ac:dyDescent="0.25">
      <c r="A238" s="8"/>
      <c r="C238" t="s">
        <v>617</v>
      </c>
      <c r="E238" t="s">
        <v>761</v>
      </c>
      <c r="P238" s="8" t="str">
        <f t="shared" si="5"/>
        <v xml:space="preserve">"ex:describesContext": </v>
      </c>
    </row>
    <row r="239" spans="1:16" x14ac:dyDescent="0.25">
      <c r="A239" s="8"/>
      <c r="C239" s="4" t="s">
        <v>11</v>
      </c>
      <c r="D239" t="s">
        <v>492</v>
      </c>
      <c r="E239" t="s">
        <v>760</v>
      </c>
      <c r="P239" s="8" t="str">
        <f t="shared" si="5"/>
        <v xml:space="preserve">"schema:hasPart": </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159</v>
      </c>
      <c r="C1" t="s">
        <v>258</v>
      </c>
      <c r="D1" t="s">
        <v>365</v>
      </c>
      <c r="E1" t="s">
        <v>807</v>
      </c>
      <c r="F1" t="s">
        <v>806</v>
      </c>
      <c r="G1" t="s">
        <v>376</v>
      </c>
      <c r="H1" t="s">
        <v>29</v>
      </c>
      <c r="I1" t="s">
        <v>364</v>
      </c>
      <c r="J1" t="s">
        <v>366</v>
      </c>
      <c r="K1" t="s">
        <v>369</v>
      </c>
      <c r="L1" t="s">
        <v>273</v>
      </c>
      <c r="M1" t="s">
        <v>491</v>
      </c>
    </row>
    <row r="2" spans="1:13" x14ac:dyDescent="0.25">
      <c r="A2" t="s">
        <v>235</v>
      </c>
      <c r="B2" t="s">
        <v>590</v>
      </c>
      <c r="C2" t="s">
        <v>591</v>
      </c>
      <c r="G2" t="s">
        <v>601</v>
      </c>
      <c r="H2" t="s">
        <v>596</v>
      </c>
    </row>
    <row r="3" spans="1:13" x14ac:dyDescent="0.25">
      <c r="B3" t="s">
        <v>602</v>
      </c>
      <c r="C3" t="s">
        <v>592</v>
      </c>
      <c r="H3" t="s">
        <v>374</v>
      </c>
    </row>
    <row r="4" spans="1:13" x14ac:dyDescent="0.25">
      <c r="C4" t="s">
        <v>593</v>
      </c>
      <c r="H4" t="s">
        <v>374</v>
      </c>
      <c r="L4" t="s">
        <v>598</v>
      </c>
    </row>
    <row r="5" spans="1:13" x14ac:dyDescent="0.25">
      <c r="C5" t="s">
        <v>594</v>
      </c>
      <c r="H5" t="s">
        <v>374</v>
      </c>
      <c r="L5" t="s">
        <v>599</v>
      </c>
    </row>
    <row r="6" spans="1:13" x14ac:dyDescent="0.25">
      <c r="C6" t="s">
        <v>595</v>
      </c>
      <c r="G6" t="s">
        <v>601</v>
      </c>
      <c r="H6" t="s">
        <v>597</v>
      </c>
      <c r="L6" t="s">
        <v>600</v>
      </c>
    </row>
    <row r="10" spans="1:13" x14ac:dyDescent="0.25">
      <c r="B10" t="s">
        <v>236</v>
      </c>
      <c r="C10" t="s">
        <v>498</v>
      </c>
      <c r="D10" t="s">
        <v>497</v>
      </c>
      <c r="L10" t="s">
        <v>506</v>
      </c>
    </row>
    <row r="11" spans="1:13" x14ac:dyDescent="0.25">
      <c r="C11" t="s">
        <v>225</v>
      </c>
      <c r="D11" t="s">
        <v>497</v>
      </c>
      <c r="E11" t="s">
        <v>335</v>
      </c>
    </row>
    <row r="12" spans="1:13" x14ac:dyDescent="0.25">
      <c r="C12" t="s">
        <v>336</v>
      </c>
      <c r="E12" t="s">
        <v>236</v>
      </c>
    </row>
    <row r="13" spans="1:13" x14ac:dyDescent="0.25">
      <c r="C13" t="s">
        <v>337</v>
      </c>
      <c r="L13" t="s">
        <v>344</v>
      </c>
    </row>
    <row r="14" spans="1:13" x14ac:dyDescent="0.25">
      <c r="C14" t="s">
        <v>338</v>
      </c>
      <c r="L14" t="s">
        <v>345</v>
      </c>
    </row>
    <row r="15" spans="1:13" x14ac:dyDescent="0.25">
      <c r="C15" t="s">
        <v>339</v>
      </c>
      <c r="E15" t="s">
        <v>372</v>
      </c>
      <c r="L15" t="s">
        <v>346</v>
      </c>
    </row>
    <row r="16" spans="1:13" x14ac:dyDescent="0.25">
      <c r="C16" t="s">
        <v>340</v>
      </c>
      <c r="E16" t="s">
        <v>350</v>
      </c>
      <c r="L16" t="s">
        <v>347</v>
      </c>
    </row>
    <row r="17" spans="2:12" x14ac:dyDescent="0.25">
      <c r="C17" t="s">
        <v>341</v>
      </c>
      <c r="E17" t="s">
        <v>351</v>
      </c>
      <c r="L17" t="s">
        <v>348</v>
      </c>
    </row>
    <row r="18" spans="2:12" x14ac:dyDescent="0.25">
      <c r="C18" t="s">
        <v>342</v>
      </c>
      <c r="E18" t="s">
        <v>373</v>
      </c>
      <c r="H18" t="s">
        <v>151</v>
      </c>
      <c r="L18" t="s">
        <v>349</v>
      </c>
    </row>
    <row r="19" spans="2:12" x14ac:dyDescent="0.25">
      <c r="C19" t="s">
        <v>343</v>
      </c>
      <c r="H19" t="s">
        <v>374</v>
      </c>
      <c r="L19" t="s">
        <v>352</v>
      </c>
    </row>
    <row r="21" spans="2:12" x14ac:dyDescent="0.25">
      <c r="B21" t="s">
        <v>509</v>
      </c>
      <c r="C21" t="s">
        <v>498</v>
      </c>
      <c r="D21" t="s">
        <v>497</v>
      </c>
      <c r="L21" t="s">
        <v>505</v>
      </c>
    </row>
    <row r="22" spans="2:12" x14ac:dyDescent="0.25">
      <c r="B22" t="s">
        <v>511</v>
      </c>
      <c r="C22" t="s">
        <v>225</v>
      </c>
      <c r="D22" t="s">
        <v>497</v>
      </c>
    </row>
    <row r="23" spans="2:12" x14ac:dyDescent="0.25">
      <c r="C23" t="s">
        <v>336</v>
      </c>
      <c r="E23" t="s">
        <v>237</v>
      </c>
    </row>
    <row r="24" spans="2:12" x14ac:dyDescent="0.25">
      <c r="C24" t="s">
        <v>500</v>
      </c>
      <c r="H24" t="s">
        <v>189</v>
      </c>
    </row>
    <row r="25" spans="2:12" x14ac:dyDescent="0.25">
      <c r="C25" t="s">
        <v>501</v>
      </c>
      <c r="H25" t="s">
        <v>507</v>
      </c>
      <c r="L25" t="s">
        <v>503</v>
      </c>
    </row>
    <row r="26" spans="2:12" x14ac:dyDescent="0.25">
      <c r="C26" t="s">
        <v>502</v>
      </c>
      <c r="H26" t="s">
        <v>508</v>
      </c>
      <c r="L26" t="s">
        <v>504</v>
      </c>
    </row>
    <row r="29" spans="2:12" x14ac:dyDescent="0.25">
      <c r="B29" t="s">
        <v>510</v>
      </c>
      <c r="C29" t="s">
        <v>498</v>
      </c>
      <c r="D29" t="s">
        <v>497</v>
      </c>
    </row>
    <row r="30" spans="2:12" x14ac:dyDescent="0.25">
      <c r="B30" t="s">
        <v>511</v>
      </c>
      <c r="C30" t="s">
        <v>225</v>
      </c>
      <c r="D30" t="s">
        <v>497</v>
      </c>
    </row>
    <row r="31" spans="2:12" x14ac:dyDescent="0.25">
      <c r="C31" t="s">
        <v>336</v>
      </c>
      <c r="E31" t="s">
        <v>638</v>
      </c>
    </row>
    <row r="32" spans="2:12" x14ac:dyDescent="0.25">
      <c r="C32" t="s">
        <v>639</v>
      </c>
      <c r="H32" t="s">
        <v>189</v>
      </c>
    </row>
    <row r="36" spans="2:12" x14ac:dyDescent="0.25">
      <c r="B36" t="s">
        <v>238</v>
      </c>
      <c r="C36" t="s">
        <v>498</v>
      </c>
      <c r="D36" t="s">
        <v>497</v>
      </c>
    </row>
    <row r="37" spans="2:12" x14ac:dyDescent="0.25">
      <c r="C37" t="s">
        <v>225</v>
      </c>
      <c r="D37" t="s">
        <v>497</v>
      </c>
    </row>
    <row r="38" spans="2:12" x14ac:dyDescent="0.25">
      <c r="C38" t="s">
        <v>336</v>
      </c>
      <c r="E38" t="s">
        <v>640</v>
      </c>
    </row>
    <row r="39" spans="2:12" x14ac:dyDescent="0.25">
      <c r="C39" t="s">
        <v>641</v>
      </c>
      <c r="H39" t="s">
        <v>642</v>
      </c>
      <c r="L39" t="s">
        <v>643</v>
      </c>
    </row>
    <row r="43" spans="2:12" x14ac:dyDescent="0.25">
      <c r="B43" t="s">
        <v>239</v>
      </c>
      <c r="C43" t="s">
        <v>498</v>
      </c>
      <c r="D43" t="s">
        <v>497</v>
      </c>
    </row>
    <row r="44" spans="2:12" x14ac:dyDescent="0.25">
      <c r="C44" t="s">
        <v>225</v>
      </c>
      <c r="D44" t="s">
        <v>497</v>
      </c>
    </row>
    <row r="45" spans="2:12" x14ac:dyDescent="0.25">
      <c r="C45" t="s">
        <v>336</v>
      </c>
      <c r="E45" t="s">
        <v>644</v>
      </c>
    </row>
    <row r="46" spans="2:12" x14ac:dyDescent="0.25">
      <c r="C46" t="s">
        <v>641</v>
      </c>
      <c r="H46" t="s">
        <v>642</v>
      </c>
      <c r="L46" t="s">
        <v>645</v>
      </c>
    </row>
    <row r="50" spans="2:12" x14ac:dyDescent="0.25">
      <c r="B50" t="s">
        <v>240</v>
      </c>
      <c r="C50" t="s">
        <v>498</v>
      </c>
      <c r="D50" t="s">
        <v>497</v>
      </c>
    </row>
    <row r="51" spans="2:12" x14ac:dyDescent="0.25">
      <c r="C51" t="s">
        <v>225</v>
      </c>
      <c r="D51" t="s">
        <v>497</v>
      </c>
    </row>
    <row r="52" spans="2:12" x14ac:dyDescent="0.25">
      <c r="C52" t="s">
        <v>336</v>
      </c>
      <c r="E52" t="s">
        <v>655</v>
      </c>
    </row>
    <row r="53" spans="2:12" x14ac:dyDescent="0.25">
      <c r="C53" t="s">
        <v>641</v>
      </c>
      <c r="H53" t="s">
        <v>642</v>
      </c>
      <c r="L53" t="s">
        <v>656</v>
      </c>
    </row>
    <row r="56" spans="2:12" x14ac:dyDescent="0.25">
      <c r="B56" t="s">
        <v>241</v>
      </c>
      <c r="C56" t="s">
        <v>498</v>
      </c>
      <c r="D56" t="s">
        <v>497</v>
      </c>
    </row>
    <row r="57" spans="2:12" x14ac:dyDescent="0.25">
      <c r="C57" t="s">
        <v>225</v>
      </c>
      <c r="D57" t="s">
        <v>497</v>
      </c>
    </row>
    <row r="58" spans="2:12" x14ac:dyDescent="0.25">
      <c r="C58" t="s">
        <v>336</v>
      </c>
      <c r="E58" t="s">
        <v>646</v>
      </c>
    </row>
    <row r="59" spans="2:12" x14ac:dyDescent="0.25">
      <c r="C59" t="s">
        <v>641</v>
      </c>
      <c r="H59" t="s">
        <v>647</v>
      </c>
      <c r="L59" t="s">
        <v>648</v>
      </c>
    </row>
    <row r="62" spans="2:12" x14ac:dyDescent="0.25">
      <c r="B62" t="s">
        <v>242</v>
      </c>
      <c r="C62" t="s">
        <v>498</v>
      </c>
      <c r="D62" t="s">
        <v>497</v>
      </c>
    </row>
    <row r="63" spans="2:12" x14ac:dyDescent="0.25">
      <c r="C63" t="s">
        <v>225</v>
      </c>
      <c r="D63" t="s">
        <v>497</v>
      </c>
    </row>
    <row r="64" spans="2:12" x14ac:dyDescent="0.25">
      <c r="C64" t="s">
        <v>336</v>
      </c>
      <c r="E64" t="s">
        <v>651</v>
      </c>
    </row>
    <row r="65" spans="2:12" x14ac:dyDescent="0.25">
      <c r="C65" t="s">
        <v>641</v>
      </c>
      <c r="H65" t="s">
        <v>649</v>
      </c>
      <c r="L65" t="s">
        <v>650</v>
      </c>
    </row>
    <row r="69" spans="2:12" x14ac:dyDescent="0.25">
      <c r="B69" t="s">
        <v>243</v>
      </c>
      <c r="C69" t="s">
        <v>498</v>
      </c>
      <c r="D69" t="s">
        <v>497</v>
      </c>
    </row>
    <row r="70" spans="2:12" x14ac:dyDescent="0.25">
      <c r="C70" t="s">
        <v>225</v>
      </c>
      <c r="D70" t="s">
        <v>497</v>
      </c>
    </row>
    <row r="71" spans="2:12" x14ac:dyDescent="0.25">
      <c r="C71" t="s">
        <v>336</v>
      </c>
      <c r="E71" t="s">
        <v>652</v>
      </c>
    </row>
    <row r="72" spans="2:12" x14ac:dyDescent="0.25">
      <c r="C72" t="s">
        <v>641</v>
      </c>
      <c r="H72" t="s">
        <v>653</v>
      </c>
      <c r="L72" t="s">
        <v>654</v>
      </c>
    </row>
    <row r="76" spans="2:12" x14ac:dyDescent="0.25">
      <c r="B76" t="s">
        <v>244</v>
      </c>
      <c r="C76" t="s">
        <v>498</v>
      </c>
      <c r="D76" t="s">
        <v>497</v>
      </c>
    </row>
    <row r="77" spans="2:12" x14ac:dyDescent="0.25">
      <c r="C77" t="s">
        <v>225</v>
      </c>
      <c r="D77" t="s">
        <v>497</v>
      </c>
    </row>
    <row r="78" spans="2:12" x14ac:dyDescent="0.25">
      <c r="C78" t="s">
        <v>336</v>
      </c>
      <c r="E78" t="s">
        <v>657</v>
      </c>
    </row>
    <row r="79" spans="2:12" x14ac:dyDescent="0.25">
      <c r="C79" t="s">
        <v>641</v>
      </c>
      <c r="H79" t="s">
        <v>658</v>
      </c>
      <c r="L79" t="s">
        <v>659</v>
      </c>
    </row>
    <row r="80" spans="2:12" x14ac:dyDescent="0.25">
      <c r="C80" t="s">
        <v>342</v>
      </c>
      <c r="H80" t="s">
        <v>604</v>
      </c>
      <c r="L80" t="s">
        <v>660</v>
      </c>
    </row>
    <row r="84" spans="2:12" x14ac:dyDescent="0.25">
      <c r="B84" t="s">
        <v>245</v>
      </c>
      <c r="C84" t="s">
        <v>498</v>
      </c>
      <c r="D84" t="s">
        <v>497</v>
      </c>
    </row>
    <row r="85" spans="2:12" x14ac:dyDescent="0.25">
      <c r="C85" t="s">
        <v>225</v>
      </c>
      <c r="D85" t="s">
        <v>497</v>
      </c>
    </row>
    <row r="86" spans="2:12" x14ac:dyDescent="0.25">
      <c r="C86" t="s">
        <v>336</v>
      </c>
      <c r="E86" t="s">
        <v>661</v>
      </c>
    </row>
    <row r="87" spans="2:12" x14ac:dyDescent="0.25">
      <c r="C87" t="s">
        <v>641</v>
      </c>
      <c r="H87" t="s">
        <v>658</v>
      </c>
      <c r="L87" t="s">
        <v>662</v>
      </c>
    </row>
    <row r="88" spans="2:12" x14ac:dyDescent="0.25">
      <c r="C88" t="s">
        <v>342</v>
      </c>
      <c r="H88" t="s">
        <v>604</v>
      </c>
      <c r="L88" t="s">
        <v>663</v>
      </c>
    </row>
    <row r="93" spans="2:12" x14ac:dyDescent="0.25">
      <c r="B93" t="s">
        <v>246</v>
      </c>
      <c r="C93" t="s">
        <v>498</v>
      </c>
      <c r="D93" t="s">
        <v>497</v>
      </c>
    </row>
    <row r="94" spans="2:12" x14ac:dyDescent="0.25">
      <c r="C94" t="s">
        <v>225</v>
      </c>
      <c r="D94" t="s">
        <v>497</v>
      </c>
    </row>
    <row r="95" spans="2:12" x14ac:dyDescent="0.25">
      <c r="C95" t="s">
        <v>336</v>
      </c>
      <c r="E95" t="s">
        <v>664</v>
      </c>
    </row>
    <row r="96" spans="2:12" x14ac:dyDescent="0.25">
      <c r="C96" t="s">
        <v>641</v>
      </c>
      <c r="H96" t="s">
        <v>642</v>
      </c>
      <c r="L96" t="s">
        <v>668</v>
      </c>
    </row>
    <row r="97" spans="2:12" x14ac:dyDescent="0.25">
      <c r="C97" t="s">
        <v>665</v>
      </c>
      <c r="H97" t="s">
        <v>666</v>
      </c>
      <c r="L97" t="s">
        <v>669</v>
      </c>
    </row>
    <row r="98" spans="2:12" x14ac:dyDescent="0.25">
      <c r="C98" t="s">
        <v>342</v>
      </c>
      <c r="H98" t="s">
        <v>667</v>
      </c>
      <c r="L98" t="s">
        <v>670</v>
      </c>
    </row>
    <row r="102" spans="2:12" x14ac:dyDescent="0.25">
      <c r="B102" t="s">
        <v>247</v>
      </c>
      <c r="C102" t="s">
        <v>498</v>
      </c>
      <c r="D102" t="s">
        <v>497</v>
      </c>
    </row>
    <row r="103" spans="2:12" x14ac:dyDescent="0.25">
      <c r="C103" t="s">
        <v>225</v>
      </c>
      <c r="D103" t="s">
        <v>497</v>
      </c>
    </row>
    <row r="104" spans="2:12" x14ac:dyDescent="0.25">
      <c r="C104" t="s">
        <v>336</v>
      </c>
      <c r="E104" t="s">
        <v>713</v>
      </c>
    </row>
    <row r="105" spans="2:12" x14ac:dyDescent="0.25">
      <c r="C105" t="s">
        <v>500</v>
      </c>
      <c r="H105" t="s">
        <v>507</v>
      </c>
      <c r="L105" t="s">
        <v>715</v>
      </c>
    </row>
    <row r="106" spans="2:12" x14ac:dyDescent="0.25">
      <c r="C106" t="s">
        <v>639</v>
      </c>
      <c r="H106" t="s">
        <v>507</v>
      </c>
      <c r="L106" t="s">
        <v>716</v>
      </c>
    </row>
    <row r="107" spans="2:12" x14ac:dyDescent="0.25">
      <c r="C107" t="s">
        <v>680</v>
      </c>
      <c r="H107" t="s">
        <v>709</v>
      </c>
      <c r="L107" t="s">
        <v>717</v>
      </c>
    </row>
    <row r="108" spans="2:12" x14ac:dyDescent="0.25">
      <c r="C108" t="s">
        <v>692</v>
      </c>
      <c r="H108" t="s">
        <v>696</v>
      </c>
      <c r="L108" t="s">
        <v>718</v>
      </c>
    </row>
    <row r="109" spans="2:12" x14ac:dyDescent="0.25">
      <c r="C109" t="s">
        <v>714</v>
      </c>
      <c r="H109" t="s">
        <v>709</v>
      </c>
      <c r="L109" t="s">
        <v>719</v>
      </c>
    </row>
    <row r="113" spans="2:12" x14ac:dyDescent="0.25">
      <c r="B113" t="s">
        <v>248</v>
      </c>
      <c r="C113" t="s">
        <v>498</v>
      </c>
      <c r="D113" t="s">
        <v>497</v>
      </c>
    </row>
    <row r="114" spans="2:12" x14ac:dyDescent="0.25">
      <c r="C114" t="s">
        <v>225</v>
      </c>
      <c r="D114" t="s">
        <v>497</v>
      </c>
    </row>
    <row r="115" spans="2:12" x14ac:dyDescent="0.25">
      <c r="C115" t="s">
        <v>336</v>
      </c>
      <c r="E115" t="s">
        <v>720</v>
      </c>
    </row>
    <row r="116" spans="2:12" x14ac:dyDescent="0.25">
      <c r="C116" t="s">
        <v>342</v>
      </c>
      <c r="H116" t="s">
        <v>151</v>
      </c>
      <c r="L116" t="s">
        <v>689</v>
      </c>
    </row>
    <row r="117" spans="2:12" x14ac:dyDescent="0.25">
      <c r="C117" t="s">
        <v>682</v>
      </c>
      <c r="H117" t="s">
        <v>721</v>
      </c>
      <c r="L117" t="s">
        <v>722</v>
      </c>
    </row>
    <row r="121" spans="2:12" x14ac:dyDescent="0.25">
      <c r="B121" t="s">
        <v>249</v>
      </c>
      <c r="C121" t="s">
        <v>498</v>
      </c>
      <c r="D121" t="s">
        <v>497</v>
      </c>
    </row>
    <row r="122" spans="2:12" x14ac:dyDescent="0.25">
      <c r="C122" t="s">
        <v>225</v>
      </c>
      <c r="D122" t="s">
        <v>497</v>
      </c>
    </row>
    <row r="123" spans="2:12" x14ac:dyDescent="0.25">
      <c r="C123" t="s">
        <v>336</v>
      </c>
    </row>
    <row r="126" spans="2:12" x14ac:dyDescent="0.25">
      <c r="B126" t="s">
        <v>250</v>
      </c>
      <c r="C126" t="s">
        <v>498</v>
      </c>
      <c r="D126" t="s">
        <v>497</v>
      </c>
    </row>
    <row r="127" spans="2:12" x14ac:dyDescent="0.25">
      <c r="C127" t="s">
        <v>225</v>
      </c>
      <c r="D127" t="s">
        <v>497</v>
      </c>
    </row>
    <row r="128" spans="2:12" x14ac:dyDescent="0.25">
      <c r="C128" t="s">
        <v>336</v>
      </c>
      <c r="E128" t="s">
        <v>691</v>
      </c>
    </row>
    <row r="129" spans="2:12" x14ac:dyDescent="0.25">
      <c r="C129" t="s">
        <v>500</v>
      </c>
      <c r="H129" t="s">
        <v>507</v>
      </c>
      <c r="L129" t="s">
        <v>698</v>
      </c>
    </row>
    <row r="130" spans="2:12" x14ac:dyDescent="0.25">
      <c r="C130" t="s">
        <v>639</v>
      </c>
      <c r="H130" t="s">
        <v>507</v>
      </c>
      <c r="L130" t="s">
        <v>699</v>
      </c>
    </row>
    <row r="131" spans="2:12" x14ac:dyDescent="0.25">
      <c r="C131" t="s">
        <v>342</v>
      </c>
      <c r="H131" t="s">
        <v>667</v>
      </c>
      <c r="L131" t="s">
        <v>700</v>
      </c>
    </row>
    <row r="132" spans="2:12" x14ac:dyDescent="0.25">
      <c r="C132" t="s">
        <v>692</v>
      </c>
      <c r="H132" t="s">
        <v>696</v>
      </c>
    </row>
    <row r="133" spans="2:12" x14ac:dyDescent="0.25">
      <c r="C133" t="s">
        <v>693</v>
      </c>
      <c r="H133" t="s">
        <v>697</v>
      </c>
      <c r="L133" t="s">
        <v>701</v>
      </c>
    </row>
    <row r="134" spans="2:12" x14ac:dyDescent="0.25">
      <c r="C134" t="s">
        <v>694</v>
      </c>
      <c r="H134" t="s">
        <v>507</v>
      </c>
      <c r="L134" t="s">
        <v>702</v>
      </c>
    </row>
    <row r="135" spans="2:12" x14ac:dyDescent="0.25">
      <c r="C135" t="s">
        <v>695</v>
      </c>
      <c r="H135" t="s">
        <v>765</v>
      </c>
      <c r="L135" t="s">
        <v>703</v>
      </c>
    </row>
    <row r="140" spans="2:12" x14ac:dyDescent="0.25">
      <c r="B140" t="s">
        <v>251</v>
      </c>
      <c r="C140" t="s">
        <v>498</v>
      </c>
      <c r="D140" t="s">
        <v>497</v>
      </c>
    </row>
    <row r="141" spans="2:12" x14ac:dyDescent="0.25">
      <c r="C141" t="s">
        <v>225</v>
      </c>
      <c r="D141" t="s">
        <v>497</v>
      </c>
    </row>
    <row r="142" spans="2:12" x14ac:dyDescent="0.25">
      <c r="C142" t="s">
        <v>336</v>
      </c>
      <c r="E142" t="s">
        <v>705</v>
      </c>
    </row>
    <row r="143" spans="2:12" x14ac:dyDescent="0.25">
      <c r="C143" t="s">
        <v>704</v>
      </c>
      <c r="E143" t="s">
        <v>374</v>
      </c>
      <c r="L143" t="s">
        <v>706</v>
      </c>
    </row>
    <row r="147" spans="2:12" x14ac:dyDescent="0.25">
      <c r="B147" t="s">
        <v>252</v>
      </c>
      <c r="C147" t="s">
        <v>498</v>
      </c>
      <c r="D147" t="s">
        <v>497</v>
      </c>
    </row>
    <row r="148" spans="2:12" x14ac:dyDescent="0.25">
      <c r="C148" t="s">
        <v>225</v>
      </c>
      <c r="D148" t="s">
        <v>497</v>
      </c>
    </row>
    <row r="149" spans="2:12" x14ac:dyDescent="0.25">
      <c r="C149" t="s">
        <v>336</v>
      </c>
      <c r="E149" t="s">
        <v>707</v>
      </c>
    </row>
    <row r="150" spans="2:12" x14ac:dyDescent="0.25">
      <c r="C150" t="s">
        <v>708</v>
      </c>
      <c r="E150" t="s">
        <v>709</v>
      </c>
      <c r="L150" t="s">
        <v>710</v>
      </c>
    </row>
    <row r="151" spans="2:12" x14ac:dyDescent="0.25">
      <c r="C151" t="s">
        <v>342</v>
      </c>
      <c r="E151" t="s">
        <v>667</v>
      </c>
      <c r="L151" t="s">
        <v>711</v>
      </c>
    </row>
    <row r="152" spans="2:12" x14ac:dyDescent="0.25">
      <c r="C152" t="s">
        <v>692</v>
      </c>
      <c r="E152" t="s">
        <v>696</v>
      </c>
      <c r="L152" t="s">
        <v>712</v>
      </c>
    </row>
    <row r="156" spans="2:12" x14ac:dyDescent="0.25">
      <c r="B156" t="s">
        <v>253</v>
      </c>
      <c r="C156" t="s">
        <v>498</v>
      </c>
      <c r="D156" t="s">
        <v>497</v>
      </c>
    </row>
    <row r="157" spans="2:12" x14ac:dyDescent="0.25">
      <c r="C157" t="s">
        <v>225</v>
      </c>
      <c r="D157" t="s">
        <v>497</v>
      </c>
    </row>
    <row r="158" spans="2:12" x14ac:dyDescent="0.25">
      <c r="C158" t="s">
        <v>336</v>
      </c>
      <c r="E158" t="s">
        <v>688</v>
      </c>
    </row>
    <row r="159" spans="2:12" x14ac:dyDescent="0.25">
      <c r="C159" t="s">
        <v>342</v>
      </c>
      <c r="E159" t="s">
        <v>151</v>
      </c>
      <c r="L159" t="s">
        <v>689</v>
      </c>
    </row>
    <row r="160" spans="2:12" x14ac:dyDescent="0.25">
      <c r="C160" t="s">
        <v>682</v>
      </c>
      <c r="E160" t="s">
        <v>683</v>
      </c>
      <c r="L160" t="s">
        <v>690</v>
      </c>
    </row>
    <row r="164" spans="2:12" x14ac:dyDescent="0.25">
      <c r="B164" t="s">
        <v>254</v>
      </c>
      <c r="C164" t="s">
        <v>498</v>
      </c>
      <c r="D164" t="s">
        <v>497</v>
      </c>
    </row>
    <row r="165" spans="2:12" x14ac:dyDescent="0.25">
      <c r="C165" t="s">
        <v>225</v>
      </c>
      <c r="D165" t="s">
        <v>497</v>
      </c>
    </row>
    <row r="166" spans="2:12" x14ac:dyDescent="0.25">
      <c r="C166" t="s">
        <v>336</v>
      </c>
      <c r="E166" t="s">
        <v>671</v>
      </c>
      <c r="L166" t="s">
        <v>676</v>
      </c>
    </row>
    <row r="167" spans="2:12" x14ac:dyDescent="0.25">
      <c r="C167" t="s">
        <v>672</v>
      </c>
      <c r="E167" t="s">
        <v>675</v>
      </c>
      <c r="L167" t="s">
        <v>677</v>
      </c>
    </row>
    <row r="168" spans="2:12" x14ac:dyDescent="0.25">
      <c r="C168" t="s">
        <v>673</v>
      </c>
      <c r="E168" t="s">
        <v>507</v>
      </c>
      <c r="L168" t="s">
        <v>678</v>
      </c>
    </row>
    <row r="169" spans="2:12" x14ac:dyDescent="0.25">
      <c r="C169" t="s">
        <v>674</v>
      </c>
      <c r="E169" t="s">
        <v>507</v>
      </c>
    </row>
    <row r="173" spans="2:12" x14ac:dyDescent="0.25">
      <c r="B173" t="s">
        <v>255</v>
      </c>
      <c r="C173" t="s">
        <v>498</v>
      </c>
      <c r="D173" t="s">
        <v>497</v>
      </c>
    </row>
    <row r="174" spans="2:12" x14ac:dyDescent="0.25">
      <c r="C174" t="s">
        <v>225</v>
      </c>
      <c r="D174" t="s">
        <v>497</v>
      </c>
      <c r="E174" t="s">
        <v>335</v>
      </c>
    </row>
    <row r="175" spans="2:12" x14ac:dyDescent="0.25">
      <c r="C175" t="s">
        <v>592</v>
      </c>
      <c r="E175" t="s">
        <v>255</v>
      </c>
    </row>
    <row r="176" spans="2:12" x14ac:dyDescent="0.25">
      <c r="C176" t="s">
        <v>342</v>
      </c>
      <c r="H176" t="s">
        <v>604</v>
      </c>
      <c r="L176" t="s">
        <v>606</v>
      </c>
    </row>
    <row r="177" spans="2:12" x14ac:dyDescent="0.25">
      <c r="C177" t="s">
        <v>603</v>
      </c>
      <c r="H177" t="s">
        <v>605</v>
      </c>
      <c r="L177" t="s">
        <v>607</v>
      </c>
    </row>
    <row r="179" spans="2:12" x14ac:dyDescent="0.25">
      <c r="B179" t="s">
        <v>256</v>
      </c>
      <c r="C179" t="s">
        <v>498</v>
      </c>
      <c r="D179" t="s">
        <v>497</v>
      </c>
    </row>
    <row r="180" spans="2:12" x14ac:dyDescent="0.25">
      <c r="C180" t="s">
        <v>225</v>
      </c>
      <c r="D180" t="s">
        <v>497</v>
      </c>
    </row>
    <row r="181" spans="2:12" x14ac:dyDescent="0.25">
      <c r="C181" t="s">
        <v>336</v>
      </c>
      <c r="E181" t="s">
        <v>679</v>
      </c>
    </row>
    <row r="182" spans="2:12" x14ac:dyDescent="0.25">
      <c r="C182" t="s">
        <v>680</v>
      </c>
      <c r="E182" t="s">
        <v>658</v>
      </c>
      <c r="L182" t="s">
        <v>684</v>
      </c>
    </row>
    <row r="183" spans="2:12" x14ac:dyDescent="0.25">
      <c r="C183" t="s">
        <v>681</v>
      </c>
      <c r="E183" t="s">
        <v>666</v>
      </c>
      <c r="L183" t="s">
        <v>685</v>
      </c>
    </row>
    <row r="184" spans="2:12" x14ac:dyDescent="0.25">
      <c r="C184" t="s">
        <v>342</v>
      </c>
      <c r="E184" t="s">
        <v>667</v>
      </c>
      <c r="L184" t="s">
        <v>686</v>
      </c>
    </row>
    <row r="185" spans="2:12" x14ac:dyDescent="0.25">
      <c r="C185" t="s">
        <v>682</v>
      </c>
      <c r="E185" t="s">
        <v>683</v>
      </c>
      <c r="L185" t="s">
        <v>687</v>
      </c>
    </row>
    <row r="190" spans="2:12" x14ac:dyDescent="0.25">
      <c r="B190" t="s">
        <v>257</v>
      </c>
      <c r="C190" t="s">
        <v>498</v>
      </c>
      <c r="D190" t="s">
        <v>497</v>
      </c>
    </row>
    <row r="191" spans="2:12" x14ac:dyDescent="0.25">
      <c r="C191" t="s">
        <v>225</v>
      </c>
      <c r="D191" t="s">
        <v>497</v>
      </c>
    </row>
    <row r="192" spans="2:12" x14ac:dyDescent="0.25">
      <c r="C192" t="s">
        <v>336</v>
      </c>
      <c r="E192" t="s">
        <v>723</v>
      </c>
    </row>
    <row r="193" spans="3:12" x14ac:dyDescent="0.25">
      <c r="C193" t="s">
        <v>724</v>
      </c>
      <c r="E193" t="s">
        <v>725</v>
      </c>
      <c r="L193" t="s">
        <v>726</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1302</v>
      </c>
      <c r="B1" t="s">
        <v>1303</v>
      </c>
      <c r="C1" t="s">
        <v>45</v>
      </c>
      <c r="D1" t="s">
        <v>273</v>
      </c>
    </row>
    <row r="2" spans="1:4" s="36" customFormat="1" x14ac:dyDescent="0.25"/>
    <row r="3" spans="1:4" ht="60" x14ac:dyDescent="0.25">
      <c r="A3" s="36" t="s">
        <v>1195</v>
      </c>
      <c r="C3" s="17" t="s">
        <v>1306</v>
      </c>
    </row>
    <row r="4" spans="1:4" x14ac:dyDescent="0.25">
      <c r="C4" s="17"/>
    </row>
    <row r="5" spans="1:4" x14ac:dyDescent="0.25">
      <c r="C5" s="17"/>
    </row>
    <row r="6" spans="1:4" x14ac:dyDescent="0.25">
      <c r="C6" s="17"/>
    </row>
    <row r="7" spans="1:4" s="36" customFormat="1" x14ac:dyDescent="0.25"/>
    <row r="8" spans="1:4" ht="30" x14ac:dyDescent="0.25">
      <c r="A8" s="36" t="s">
        <v>1197</v>
      </c>
      <c r="C8" s="17" t="s">
        <v>1307</v>
      </c>
    </row>
    <row r="9" spans="1:4" x14ac:dyDescent="0.25">
      <c r="C9" s="17"/>
    </row>
    <row r="10" spans="1:4" x14ac:dyDescent="0.25">
      <c r="C10" s="17"/>
    </row>
    <row r="11" spans="1:4" x14ac:dyDescent="0.25">
      <c r="C11" s="17"/>
    </row>
    <row r="12" spans="1:4" x14ac:dyDescent="0.25">
      <c r="C12" s="17"/>
    </row>
    <row r="13" spans="1:4" s="36" customFormat="1" x14ac:dyDescent="0.25"/>
    <row r="14" spans="1:4" ht="30" x14ac:dyDescent="0.25">
      <c r="A14" s="36" t="s">
        <v>1196</v>
      </c>
      <c r="C14" s="17" t="s">
        <v>1308</v>
      </c>
    </row>
    <row r="15" spans="1:4" x14ac:dyDescent="0.25">
      <c r="C15" s="17"/>
    </row>
    <row r="16" spans="1:4" x14ac:dyDescent="0.25">
      <c r="C16" s="17"/>
    </row>
    <row r="17" spans="1:4" x14ac:dyDescent="0.25">
      <c r="C17" s="17"/>
    </row>
    <row r="18" spans="1:4" s="36" customFormat="1" x14ac:dyDescent="0.25"/>
    <row r="19" spans="1:4" ht="30" x14ac:dyDescent="0.25">
      <c r="A19" s="36" t="s">
        <v>1198</v>
      </c>
      <c r="B19" t="s">
        <v>1205</v>
      </c>
      <c r="C19" s="17" t="s">
        <v>1305</v>
      </c>
      <c r="D19" t="s">
        <v>1208</v>
      </c>
    </row>
    <row r="20" spans="1:4" ht="30" x14ac:dyDescent="0.25">
      <c r="A20" s="35" t="s">
        <v>1301</v>
      </c>
      <c r="C20" s="17" t="s">
        <v>1310</v>
      </c>
    </row>
    <row r="21" spans="1:4" ht="45" x14ac:dyDescent="0.25">
      <c r="A21" s="35" t="s">
        <v>1304</v>
      </c>
      <c r="C21" s="17" t="s">
        <v>1309</v>
      </c>
    </row>
    <row r="27" spans="1:4" s="36" customFormat="1" x14ac:dyDescent="0.25"/>
    <row r="28" spans="1:4" ht="45" x14ac:dyDescent="0.25">
      <c r="A28" s="36" t="s">
        <v>1199</v>
      </c>
      <c r="B28" t="s">
        <v>1205</v>
      </c>
      <c r="C28" s="17" t="s">
        <v>1313</v>
      </c>
    </row>
    <row r="29" spans="1:4" ht="60" x14ac:dyDescent="0.25">
      <c r="A29" s="35" t="s">
        <v>1311</v>
      </c>
      <c r="C29" s="17" t="s">
        <v>1314</v>
      </c>
    </row>
    <row r="30" spans="1:4" ht="45" x14ac:dyDescent="0.25">
      <c r="A30" s="35" t="s">
        <v>1312</v>
      </c>
      <c r="C30" s="17" t="s">
        <v>1315</v>
      </c>
    </row>
    <row r="31" spans="1:4" x14ac:dyDescent="0.25">
      <c r="A31" s="35"/>
      <c r="C31" s="17"/>
    </row>
    <row r="32" spans="1:4" x14ac:dyDescent="0.25">
      <c r="A32" s="35"/>
      <c r="C32" s="17"/>
    </row>
    <row r="33" spans="1:3" x14ac:dyDescent="0.25">
      <c r="A33" s="35"/>
      <c r="C33" s="17"/>
    </row>
    <row r="34" spans="1:3" x14ac:dyDescent="0.25">
      <c r="A34" s="35"/>
      <c r="C34" s="17"/>
    </row>
    <row r="35" spans="1:3" s="36" customFormat="1" x14ac:dyDescent="0.25"/>
    <row r="36" spans="1:3" ht="30" x14ac:dyDescent="0.25">
      <c r="A36" s="36" t="s">
        <v>1200</v>
      </c>
      <c r="B36" t="s">
        <v>1205</v>
      </c>
      <c r="C36" s="17" t="s">
        <v>1320</v>
      </c>
    </row>
    <row r="37" spans="1:3" ht="120" x14ac:dyDescent="0.25">
      <c r="A37" s="35" t="s">
        <v>1316</v>
      </c>
      <c r="C37" s="17" t="s">
        <v>1321</v>
      </c>
    </row>
    <row r="38" spans="1:3" ht="45" x14ac:dyDescent="0.25">
      <c r="A38" s="35" t="s">
        <v>1317</v>
      </c>
      <c r="C38" s="17" t="s">
        <v>1322</v>
      </c>
    </row>
    <row r="39" spans="1:3" ht="45" x14ac:dyDescent="0.25">
      <c r="A39" s="35" t="s">
        <v>1318</v>
      </c>
      <c r="C39" s="17" t="s">
        <v>1323</v>
      </c>
    </row>
    <row r="40" spans="1:3" ht="45" x14ac:dyDescent="0.25">
      <c r="A40" s="35" t="s">
        <v>1319</v>
      </c>
      <c r="C40" s="17" t="s">
        <v>1324</v>
      </c>
    </row>
    <row r="41" spans="1:3" x14ac:dyDescent="0.25">
      <c r="A41" s="35"/>
      <c r="C41" s="17"/>
    </row>
    <row r="42" spans="1:3" x14ac:dyDescent="0.25">
      <c r="A42" s="35"/>
      <c r="C42" s="17"/>
    </row>
    <row r="43" spans="1:3" x14ac:dyDescent="0.25">
      <c r="A43" s="35"/>
      <c r="C43" s="17"/>
    </row>
    <row r="44" spans="1:3" s="36" customFormat="1" x14ac:dyDescent="0.25"/>
    <row r="45" spans="1:3" ht="30" x14ac:dyDescent="0.25">
      <c r="A45" s="36" t="s">
        <v>1201</v>
      </c>
      <c r="B45" t="s">
        <v>1205</v>
      </c>
      <c r="C45" s="17" t="s">
        <v>1330</v>
      </c>
    </row>
    <row r="46" spans="1:3" ht="30" x14ac:dyDescent="0.25">
      <c r="A46" s="35" t="s">
        <v>1325</v>
      </c>
      <c r="C46" s="17" t="s">
        <v>1331</v>
      </c>
    </row>
    <row r="47" spans="1:3" ht="30" x14ac:dyDescent="0.25">
      <c r="A47" s="35" t="s">
        <v>1326</v>
      </c>
      <c r="C47" s="17" t="s">
        <v>1332</v>
      </c>
    </row>
    <row r="48" spans="1:3" ht="30" x14ac:dyDescent="0.25">
      <c r="A48" s="35" t="s">
        <v>1327</v>
      </c>
      <c r="C48" s="17" t="s">
        <v>1333</v>
      </c>
    </row>
    <row r="49" spans="1:4" ht="45" x14ac:dyDescent="0.25">
      <c r="A49" s="35" t="s">
        <v>1328</v>
      </c>
      <c r="C49" s="17" t="s">
        <v>1334</v>
      </c>
    </row>
    <row r="50" spans="1:4" ht="60" x14ac:dyDescent="0.25">
      <c r="A50" s="35" t="s">
        <v>1329</v>
      </c>
      <c r="C50" s="17" t="s">
        <v>1335</v>
      </c>
    </row>
    <row r="51" spans="1:4" x14ac:dyDescent="0.25">
      <c r="A51" s="35"/>
      <c r="C51" s="17"/>
    </row>
    <row r="52" spans="1:4" x14ac:dyDescent="0.25">
      <c r="A52" s="35"/>
      <c r="C52" s="17"/>
    </row>
    <row r="53" spans="1:4" x14ac:dyDescent="0.25">
      <c r="A53" s="35"/>
      <c r="C53" s="17"/>
    </row>
    <row r="55" spans="1:4" ht="30" x14ac:dyDescent="0.25">
      <c r="A55" t="s">
        <v>1202</v>
      </c>
      <c r="B55" t="s">
        <v>1205</v>
      </c>
      <c r="C55" s="17" t="s">
        <v>1336</v>
      </c>
    </row>
    <row r="56" spans="1:4" x14ac:dyDescent="0.25">
      <c r="C56" s="17"/>
    </row>
    <row r="57" spans="1:4" x14ac:dyDescent="0.25">
      <c r="C57" s="17"/>
    </row>
    <row r="58" spans="1:4" x14ac:dyDescent="0.25">
      <c r="C58" s="17"/>
    </row>
    <row r="59" spans="1:4" s="36" customFormat="1" x14ac:dyDescent="0.25">
      <c r="C59" s="37"/>
    </row>
    <row r="60" spans="1:4" ht="30" x14ac:dyDescent="0.25">
      <c r="A60" s="36" t="s">
        <v>1203</v>
      </c>
      <c r="C60" s="17" t="s">
        <v>1337</v>
      </c>
      <c r="D60" t="s">
        <v>1209</v>
      </c>
    </row>
    <row r="61" spans="1:4" x14ac:dyDescent="0.25">
      <c r="C61" s="17"/>
    </row>
    <row r="62" spans="1:4" x14ac:dyDescent="0.25">
      <c r="C62" s="17"/>
    </row>
    <row r="63" spans="1:4" x14ac:dyDescent="0.25">
      <c r="C63" s="17"/>
    </row>
    <row r="64" spans="1:4" s="36" customFormat="1" x14ac:dyDescent="0.25"/>
    <row r="65" spans="1:3" ht="75" x14ac:dyDescent="0.25">
      <c r="A65" s="36" t="s">
        <v>1204</v>
      </c>
      <c r="B65" t="s">
        <v>1205</v>
      </c>
      <c r="C65" s="17" t="s">
        <v>1342</v>
      </c>
    </row>
    <row r="66" spans="1:3" ht="45" x14ac:dyDescent="0.25">
      <c r="A66" s="35" t="s">
        <v>1338</v>
      </c>
      <c r="C66" s="17" t="s">
        <v>1343</v>
      </c>
    </row>
    <row r="67" spans="1:3" ht="30" x14ac:dyDescent="0.25">
      <c r="A67" s="35" t="s">
        <v>1339</v>
      </c>
      <c r="C67" s="17" t="s">
        <v>1344</v>
      </c>
    </row>
    <row r="68" spans="1:3" ht="30" x14ac:dyDescent="0.25">
      <c r="A68" s="35" t="s">
        <v>1340</v>
      </c>
      <c r="C68" s="17" t="s">
        <v>1345</v>
      </c>
    </row>
    <row r="69" spans="1:3" ht="30" x14ac:dyDescent="0.25">
      <c r="A69" s="35" t="s">
        <v>1341</v>
      </c>
      <c r="C69" s="17" t="s">
        <v>1346</v>
      </c>
    </row>
    <row r="70" spans="1:3" s="36" customFormat="1" x14ac:dyDescent="0.25"/>
    <row r="71" spans="1:3" ht="30" x14ac:dyDescent="0.25">
      <c r="A71" s="36" t="s">
        <v>1182</v>
      </c>
      <c r="B71" t="s">
        <v>1205</v>
      </c>
      <c r="C71" s="17" t="s">
        <v>1348</v>
      </c>
    </row>
    <row r="72" spans="1:3" ht="60" x14ac:dyDescent="0.25">
      <c r="A72" s="35" t="s">
        <v>1347</v>
      </c>
      <c r="C72" s="17" t="s">
        <v>1349</v>
      </c>
    </row>
    <row r="73" spans="1:3" x14ac:dyDescent="0.25">
      <c r="A73" s="35"/>
      <c r="C73" s="17"/>
    </row>
    <row r="74" spans="1:3" x14ac:dyDescent="0.25">
      <c r="A74" s="35"/>
      <c r="C74" s="17"/>
    </row>
    <row r="75" spans="1:3" x14ac:dyDescent="0.25">
      <c r="A75" s="35"/>
      <c r="C75" s="17"/>
    </row>
    <row r="76" spans="1:3" s="36" customFormat="1" x14ac:dyDescent="0.25"/>
    <row r="77" spans="1:3" ht="45" x14ac:dyDescent="0.25">
      <c r="A77" s="41" t="s">
        <v>1183</v>
      </c>
      <c r="B77" t="s">
        <v>1205</v>
      </c>
      <c r="C77" s="17" t="s">
        <v>1350</v>
      </c>
    </row>
    <row r="78" spans="1:3" s="38" customFormat="1" x14ac:dyDescent="0.25">
      <c r="C78" s="42"/>
    </row>
    <row r="79" spans="1:3" ht="30" x14ac:dyDescent="0.25">
      <c r="A79" s="38" t="s">
        <v>1435</v>
      </c>
      <c r="C79" s="17" t="s">
        <v>1460</v>
      </c>
    </row>
    <row r="80" spans="1:3" ht="45" x14ac:dyDescent="0.25">
      <c r="A80" t="s">
        <v>1436</v>
      </c>
      <c r="C80" s="17" t="s">
        <v>1461</v>
      </c>
    </row>
    <row r="81" spans="1:3" ht="45" x14ac:dyDescent="0.25">
      <c r="A81" t="s">
        <v>1437</v>
      </c>
      <c r="C81" s="17" t="s">
        <v>1462</v>
      </c>
    </row>
    <row r="82" spans="1:3" s="43" customFormat="1" x14ac:dyDescent="0.25">
      <c r="C82" s="44"/>
    </row>
    <row r="83" spans="1:3" ht="45" x14ac:dyDescent="0.25">
      <c r="A83" s="43" t="s">
        <v>1438</v>
      </c>
      <c r="C83" s="17" t="s">
        <v>1463</v>
      </c>
    </row>
    <row r="84" spans="1:3" ht="45" x14ac:dyDescent="0.25">
      <c r="A84" t="s">
        <v>1439</v>
      </c>
      <c r="C84" s="17" t="s">
        <v>1464</v>
      </c>
    </row>
    <row r="85" spans="1:3" ht="30" x14ac:dyDescent="0.25">
      <c r="A85" t="s">
        <v>1440</v>
      </c>
      <c r="C85" s="17" t="s">
        <v>1465</v>
      </c>
    </row>
    <row r="86" spans="1:3" ht="30" x14ac:dyDescent="0.25">
      <c r="A86" t="s">
        <v>1441</v>
      </c>
      <c r="C86" s="17" t="s">
        <v>1466</v>
      </c>
    </row>
    <row r="87" spans="1:3" x14ac:dyDescent="0.25">
      <c r="C87" s="17"/>
    </row>
    <row r="88" spans="1:3" s="38" customFormat="1" x14ac:dyDescent="0.25">
      <c r="C88" s="42"/>
    </row>
    <row r="89" spans="1:3" ht="60" x14ac:dyDescent="0.25">
      <c r="A89" s="38" t="s">
        <v>1442</v>
      </c>
      <c r="C89" s="17" t="s">
        <v>1467</v>
      </c>
    </row>
    <row r="90" spans="1:3" x14ac:dyDescent="0.25">
      <c r="C90" s="17"/>
    </row>
    <row r="91" spans="1:3" s="38" customFormat="1" x14ac:dyDescent="0.25">
      <c r="C91" s="42"/>
    </row>
    <row r="92" spans="1:3" ht="60" x14ac:dyDescent="0.25">
      <c r="A92" s="38" t="s">
        <v>1443</v>
      </c>
      <c r="C92" s="17" t="s">
        <v>1468</v>
      </c>
    </row>
    <row r="93" spans="1:3" ht="30" x14ac:dyDescent="0.25">
      <c r="A93" t="s">
        <v>1444</v>
      </c>
      <c r="C93" s="17" t="s">
        <v>1469</v>
      </c>
    </row>
    <row r="94" spans="1:3" ht="30" x14ac:dyDescent="0.25">
      <c r="A94" t="s">
        <v>1445</v>
      </c>
      <c r="C94" s="17" t="s">
        <v>1470</v>
      </c>
    </row>
    <row r="95" spans="1:3" x14ac:dyDescent="0.25">
      <c r="C95" s="17"/>
    </row>
    <row r="96" spans="1:3" s="38" customFormat="1" x14ac:dyDescent="0.25">
      <c r="C96" s="42"/>
    </row>
    <row r="97" spans="1:3" ht="105" x14ac:dyDescent="0.25">
      <c r="A97" s="38" t="s">
        <v>1446</v>
      </c>
      <c r="C97" s="17" t="s">
        <v>1471</v>
      </c>
    </row>
    <row r="98" spans="1:3" ht="45" x14ac:dyDescent="0.25">
      <c r="A98" t="s">
        <v>1447</v>
      </c>
      <c r="C98" s="17" t="s">
        <v>1472</v>
      </c>
    </row>
    <row r="99" spans="1:3" ht="60" x14ac:dyDescent="0.25">
      <c r="A99" t="s">
        <v>1448</v>
      </c>
      <c r="C99" s="17" t="s">
        <v>1473</v>
      </c>
    </row>
    <row r="100" spans="1:3" ht="30" x14ac:dyDescent="0.25">
      <c r="A100" t="s">
        <v>1449</v>
      </c>
      <c r="C100" s="17" t="s">
        <v>1474</v>
      </c>
    </row>
    <row r="101" spans="1:3" ht="60" x14ac:dyDescent="0.25">
      <c r="A101" t="s">
        <v>1450</v>
      </c>
      <c r="C101" s="17" t="s">
        <v>1475</v>
      </c>
    </row>
    <row r="102" spans="1:3" ht="75" x14ac:dyDescent="0.25">
      <c r="A102" t="s">
        <v>1451</v>
      </c>
      <c r="C102" s="17" t="s">
        <v>1476</v>
      </c>
    </row>
    <row r="103" spans="1:3" x14ac:dyDescent="0.25">
      <c r="C103" s="17"/>
    </row>
    <row r="104" spans="1:3" s="38" customFormat="1" x14ac:dyDescent="0.25">
      <c r="C104" s="42"/>
    </row>
    <row r="105" spans="1:3" ht="30" x14ac:dyDescent="0.25">
      <c r="A105" s="38" t="s">
        <v>1452</v>
      </c>
      <c r="C105" s="17" t="s">
        <v>1477</v>
      </c>
    </row>
    <row r="106" spans="1:3" ht="45" x14ac:dyDescent="0.25">
      <c r="A106" t="s">
        <v>1453</v>
      </c>
      <c r="C106" s="17" t="s">
        <v>1478</v>
      </c>
    </row>
    <row r="107" spans="1:3" ht="45" x14ac:dyDescent="0.25">
      <c r="A107" t="s">
        <v>1454</v>
      </c>
      <c r="C107" s="17" t="s">
        <v>1479</v>
      </c>
    </row>
    <row r="108" spans="1:3" ht="45" x14ac:dyDescent="0.25">
      <c r="A108" t="s">
        <v>1455</v>
      </c>
      <c r="C108" s="17" t="s">
        <v>1480</v>
      </c>
    </row>
    <row r="109" spans="1:3" x14ac:dyDescent="0.25">
      <c r="C109" s="17"/>
    </row>
    <row r="110" spans="1:3" s="38" customFormat="1" x14ac:dyDescent="0.25">
      <c r="C110" s="42"/>
    </row>
    <row r="111" spans="1:3" ht="60" x14ac:dyDescent="0.25">
      <c r="A111" s="38" t="s">
        <v>1456</v>
      </c>
      <c r="C111" s="17" t="s">
        <v>1481</v>
      </c>
    </row>
    <row r="112" spans="1:3" ht="45" x14ac:dyDescent="0.25">
      <c r="A112" t="s">
        <v>1457</v>
      </c>
      <c r="C112" s="17" t="s">
        <v>1482</v>
      </c>
    </row>
    <row r="113" spans="1:3" ht="60" x14ac:dyDescent="0.25">
      <c r="A113" t="s">
        <v>1458</v>
      </c>
      <c r="C113" s="17" t="s">
        <v>1483</v>
      </c>
    </row>
    <row r="114" spans="1:3" ht="30" x14ac:dyDescent="0.25">
      <c r="A114" t="s">
        <v>1459</v>
      </c>
      <c r="C114" s="17" t="s">
        <v>1484</v>
      </c>
    </row>
    <row r="115" spans="1:3" x14ac:dyDescent="0.25">
      <c r="C115" s="17"/>
    </row>
    <row r="116" spans="1:3" x14ac:dyDescent="0.25">
      <c r="C116" s="17"/>
    </row>
    <row r="117" spans="1:3" x14ac:dyDescent="0.25">
      <c r="C117" s="17"/>
    </row>
    <row r="118" spans="1:3" s="36" customFormat="1" x14ac:dyDescent="0.25">
      <c r="C118" s="37"/>
    </row>
    <row r="119" spans="1:3" x14ac:dyDescent="0.25">
      <c r="A119" s="36" t="s">
        <v>1184</v>
      </c>
      <c r="B119" t="s">
        <v>1206</v>
      </c>
    </row>
    <row r="120" spans="1:3" x14ac:dyDescent="0.25">
      <c r="A120" s="35" t="s">
        <v>1352</v>
      </c>
      <c r="C120" t="s">
        <v>1351</v>
      </c>
    </row>
    <row r="121" spans="1:3" x14ac:dyDescent="0.25">
      <c r="A121" s="35" t="s">
        <v>1353</v>
      </c>
      <c r="C121" t="s">
        <v>1354</v>
      </c>
    </row>
    <row r="122" spans="1:3" x14ac:dyDescent="0.25">
      <c r="A122" s="35"/>
    </row>
    <row r="123" spans="1:3" x14ac:dyDescent="0.25">
      <c r="A123" s="35"/>
    </row>
    <row r="124" spans="1:3" s="36" customFormat="1" x14ac:dyDescent="0.25"/>
    <row r="125" spans="1:3" ht="45" x14ac:dyDescent="0.25">
      <c r="A125" s="36" t="s">
        <v>1185</v>
      </c>
      <c r="B125" t="s">
        <v>1205</v>
      </c>
      <c r="C125" s="17" t="s">
        <v>1357</v>
      </c>
    </row>
    <row r="126" spans="1:3" ht="30" x14ac:dyDescent="0.25">
      <c r="A126" s="35" t="s">
        <v>1355</v>
      </c>
      <c r="C126" s="17" t="s">
        <v>1358</v>
      </c>
    </row>
    <row r="127" spans="1:3" ht="45" x14ac:dyDescent="0.25">
      <c r="A127" s="35" t="s">
        <v>1356</v>
      </c>
      <c r="C127" s="17" t="s">
        <v>1359</v>
      </c>
    </row>
    <row r="128" spans="1:3" x14ac:dyDescent="0.25">
      <c r="A128" s="35"/>
      <c r="C128" s="17"/>
    </row>
    <row r="129" spans="1:3" x14ac:dyDescent="0.25">
      <c r="A129" s="35"/>
      <c r="C129" s="17"/>
    </row>
    <row r="130" spans="1:3" x14ac:dyDescent="0.25">
      <c r="A130" s="35"/>
      <c r="C130" s="17"/>
    </row>
    <row r="131" spans="1:3" s="36" customFormat="1" x14ac:dyDescent="0.25"/>
    <row r="132" spans="1:3" ht="60" x14ac:dyDescent="0.25">
      <c r="A132" s="36" t="s">
        <v>1370</v>
      </c>
      <c r="B132" t="s">
        <v>1205</v>
      </c>
      <c r="C132" s="17" t="s">
        <v>1371</v>
      </c>
    </row>
    <row r="133" spans="1:3" ht="45" x14ac:dyDescent="0.25">
      <c r="A133" s="35" t="s">
        <v>1360</v>
      </c>
      <c r="C133" s="17" t="s">
        <v>1372</v>
      </c>
    </row>
    <row r="134" spans="1:3" ht="45" x14ac:dyDescent="0.25">
      <c r="A134" s="35" t="s">
        <v>1361</v>
      </c>
      <c r="C134" s="17" t="s">
        <v>1373</v>
      </c>
    </row>
    <row r="135" spans="1:3" ht="45" x14ac:dyDescent="0.25">
      <c r="A135" s="35" t="s">
        <v>1362</v>
      </c>
      <c r="C135" s="17" t="s">
        <v>1374</v>
      </c>
    </row>
    <row r="136" spans="1:3" ht="45" x14ac:dyDescent="0.25">
      <c r="A136" s="35" t="s">
        <v>1363</v>
      </c>
      <c r="C136" s="17" t="s">
        <v>1375</v>
      </c>
    </row>
    <row r="137" spans="1:3" ht="30" x14ac:dyDescent="0.25">
      <c r="A137" s="35" t="s">
        <v>1364</v>
      </c>
      <c r="C137" s="17" t="s">
        <v>1376</v>
      </c>
    </row>
    <row r="138" spans="1:3" ht="60" x14ac:dyDescent="0.25">
      <c r="A138" s="35" t="s">
        <v>1365</v>
      </c>
      <c r="C138" s="17" t="s">
        <v>1377</v>
      </c>
    </row>
    <row r="139" spans="1:3" ht="45" x14ac:dyDescent="0.25">
      <c r="A139" s="35" t="s">
        <v>1366</v>
      </c>
      <c r="C139" s="17" t="s">
        <v>1378</v>
      </c>
    </row>
    <row r="140" spans="1:3" ht="45" x14ac:dyDescent="0.25">
      <c r="A140" s="35" t="s">
        <v>1367</v>
      </c>
      <c r="C140" s="17" t="s">
        <v>1379</v>
      </c>
    </row>
    <row r="141" spans="1:3" ht="45" x14ac:dyDescent="0.25">
      <c r="A141" s="35" t="s">
        <v>1368</v>
      </c>
      <c r="C141" s="17" t="s">
        <v>1381</v>
      </c>
    </row>
    <row r="142" spans="1:3" ht="45" x14ac:dyDescent="0.25">
      <c r="A142" s="35" t="s">
        <v>1369</v>
      </c>
      <c r="C142" s="17" t="s">
        <v>1380</v>
      </c>
    </row>
    <row r="144" spans="1:3" s="36" customFormat="1" x14ac:dyDescent="0.25"/>
    <row r="145" spans="1:3" ht="45" x14ac:dyDescent="0.25">
      <c r="A145" s="36" t="s">
        <v>1388</v>
      </c>
      <c r="B145" t="s">
        <v>1207</v>
      </c>
      <c r="C145" s="17" t="s">
        <v>1389</v>
      </c>
    </row>
    <row r="146" spans="1:3" s="38" customFormat="1" x14ac:dyDescent="0.25"/>
    <row r="147" spans="1:3" ht="60" x14ac:dyDescent="0.25">
      <c r="A147" s="39" t="s">
        <v>1383</v>
      </c>
      <c r="C147" s="17" t="s">
        <v>1390</v>
      </c>
    </row>
    <row r="148" spans="1:3" ht="30" x14ac:dyDescent="0.25">
      <c r="A148" t="s">
        <v>1384</v>
      </c>
      <c r="C148" s="17" t="s">
        <v>1391</v>
      </c>
    </row>
    <row r="149" spans="1:3" s="38" customFormat="1" x14ac:dyDescent="0.25"/>
    <row r="150" spans="1:3" ht="120" x14ac:dyDescent="0.25">
      <c r="A150" s="39" t="s">
        <v>1385</v>
      </c>
      <c r="C150" s="17" t="s">
        <v>1392</v>
      </c>
    </row>
    <row r="151" spans="1:3" ht="105" x14ac:dyDescent="0.25">
      <c r="A151" t="s">
        <v>1386</v>
      </c>
      <c r="C151" s="17" t="s">
        <v>1393</v>
      </c>
    </row>
    <row r="152" spans="1:3" ht="105" x14ac:dyDescent="0.25">
      <c r="A152" t="s">
        <v>1387</v>
      </c>
      <c r="C152" s="17" t="s">
        <v>1394</v>
      </c>
    </row>
    <row r="155" spans="1:3" s="36" customFormat="1" x14ac:dyDescent="0.25"/>
    <row r="156" spans="1:3" x14ac:dyDescent="0.25">
      <c r="A156" s="36" t="s">
        <v>1186</v>
      </c>
      <c r="B156" t="s">
        <v>1205</v>
      </c>
      <c r="C156" t="s">
        <v>1398</v>
      </c>
    </row>
    <row r="157" spans="1:3" ht="30" x14ac:dyDescent="0.25">
      <c r="A157" s="35" t="s">
        <v>1395</v>
      </c>
      <c r="C157" s="17" t="s">
        <v>1400</v>
      </c>
    </row>
    <row r="158" spans="1:3" s="38" customFormat="1" x14ac:dyDescent="0.25">
      <c r="A158" s="39"/>
    </row>
    <row r="159" spans="1:3" ht="90" x14ac:dyDescent="0.25">
      <c r="A159" s="39" t="s">
        <v>1396</v>
      </c>
      <c r="C159" s="17" t="s">
        <v>1399</v>
      </c>
    </row>
    <row r="160" spans="1:3" ht="45" x14ac:dyDescent="0.25">
      <c r="A160" t="s">
        <v>1397</v>
      </c>
      <c r="C160" s="17" t="s">
        <v>1401</v>
      </c>
    </row>
    <row r="163" spans="1:3" s="36" customFormat="1" x14ac:dyDescent="0.25"/>
    <row r="164" spans="1:3" ht="30" x14ac:dyDescent="0.25">
      <c r="A164" s="36" t="s">
        <v>1187</v>
      </c>
      <c r="B164" t="s">
        <v>1205</v>
      </c>
      <c r="C164" s="17" t="s">
        <v>1382</v>
      </c>
    </row>
    <row r="165" spans="1:3" x14ac:dyDescent="0.25">
      <c r="C165" s="17"/>
    </row>
    <row r="166" spans="1:3" x14ac:dyDescent="0.25">
      <c r="C166" s="17"/>
    </row>
    <row r="167" spans="1:3" s="36" customFormat="1" x14ac:dyDescent="0.25">
      <c r="C167" s="37"/>
    </row>
    <row r="168" spans="1:3" x14ac:dyDescent="0.25">
      <c r="A168" s="36" t="s">
        <v>1188</v>
      </c>
      <c r="B168" t="s">
        <v>1205</v>
      </c>
      <c r="C168" t="s">
        <v>1405</v>
      </c>
    </row>
    <row r="169" spans="1:3" x14ac:dyDescent="0.25">
      <c r="A169" s="35" t="s">
        <v>1404</v>
      </c>
      <c r="C169" t="s">
        <v>1406</v>
      </c>
    </row>
    <row r="170" spans="1:3" ht="30" x14ac:dyDescent="0.25">
      <c r="A170" s="35" t="s">
        <v>1402</v>
      </c>
      <c r="C170" s="40" t="s">
        <v>1407</v>
      </c>
    </row>
    <row r="171" spans="1:3" ht="30" x14ac:dyDescent="0.25">
      <c r="A171" s="35" t="s">
        <v>1403</v>
      </c>
      <c r="C171" s="40" t="s">
        <v>1407</v>
      </c>
    </row>
    <row r="173" spans="1:3" s="36" customFormat="1" x14ac:dyDescent="0.25"/>
    <row r="174" spans="1:3" ht="60" x14ac:dyDescent="0.25">
      <c r="A174" s="36" t="s">
        <v>1189</v>
      </c>
      <c r="B174" t="s">
        <v>1205</v>
      </c>
      <c r="C174" s="17" t="s">
        <v>1412</v>
      </c>
    </row>
    <row r="175" spans="1:3" ht="30" x14ac:dyDescent="0.25">
      <c r="A175" s="35" t="s">
        <v>1409</v>
      </c>
      <c r="C175" s="17" t="s">
        <v>1413</v>
      </c>
    </row>
    <row r="176" spans="1:3" ht="30" x14ac:dyDescent="0.25">
      <c r="A176" s="35" t="s">
        <v>1410</v>
      </c>
      <c r="C176" s="17" t="s">
        <v>1414</v>
      </c>
    </row>
    <row r="177" spans="1:3" ht="30" x14ac:dyDescent="0.25">
      <c r="A177" s="35" t="s">
        <v>1411</v>
      </c>
      <c r="C177" s="17" t="s">
        <v>1415</v>
      </c>
    </row>
    <row r="179" spans="1:3" s="36" customFormat="1" x14ac:dyDescent="0.25"/>
    <row r="180" spans="1:3" x14ac:dyDescent="0.25">
      <c r="A180" s="36" t="s">
        <v>1190</v>
      </c>
      <c r="B180" t="s">
        <v>1205</v>
      </c>
      <c r="C180" t="s">
        <v>1408</v>
      </c>
    </row>
    <row r="182" spans="1:3" s="36" customFormat="1" x14ac:dyDescent="0.25"/>
    <row r="183" spans="1:3" x14ac:dyDescent="0.25">
      <c r="A183" s="36" t="s">
        <v>1191</v>
      </c>
      <c r="B183" t="s">
        <v>1205</v>
      </c>
      <c r="C183" t="s">
        <v>1420</v>
      </c>
    </row>
    <row r="184" spans="1:3" ht="45" x14ac:dyDescent="0.25">
      <c r="A184" s="35" t="s">
        <v>1416</v>
      </c>
      <c r="C184" s="17" t="s">
        <v>1421</v>
      </c>
    </row>
    <row r="185" spans="1:3" ht="45" x14ac:dyDescent="0.25">
      <c r="A185" s="35" t="s">
        <v>1417</v>
      </c>
      <c r="C185" s="17" t="s">
        <v>1422</v>
      </c>
    </row>
    <row r="186" spans="1:3" ht="45" x14ac:dyDescent="0.25">
      <c r="A186" s="35" t="s">
        <v>1418</v>
      </c>
      <c r="C186" s="17" t="s">
        <v>1423</v>
      </c>
    </row>
    <row r="187" spans="1:3" x14ac:dyDescent="0.25">
      <c r="A187" s="35" t="s">
        <v>1419</v>
      </c>
      <c r="C187" s="17" t="s">
        <v>1424</v>
      </c>
    </row>
    <row r="190" spans="1:3" s="36" customFormat="1" x14ac:dyDescent="0.25"/>
    <row r="191" spans="1:3" x14ac:dyDescent="0.25">
      <c r="A191" s="36" t="s">
        <v>1192</v>
      </c>
      <c r="B191" t="s">
        <v>1205</v>
      </c>
      <c r="C191" t="s">
        <v>1425</v>
      </c>
    </row>
    <row r="195" spans="1:3" s="36" customFormat="1" x14ac:dyDescent="0.25"/>
    <row r="196" spans="1:3" ht="105" x14ac:dyDescent="0.25">
      <c r="A196" s="36" t="s">
        <v>1193</v>
      </c>
      <c r="B196" t="s">
        <v>1205</v>
      </c>
      <c r="C196" s="17" t="s">
        <v>1426</v>
      </c>
    </row>
    <row r="197" spans="1:3" ht="30" x14ac:dyDescent="0.25">
      <c r="A197" s="35" t="s">
        <v>1222</v>
      </c>
      <c r="C197" s="17" t="s">
        <v>1427</v>
      </c>
    </row>
    <row r="198" spans="1:3" ht="30" x14ac:dyDescent="0.25">
      <c r="A198" s="35" t="s">
        <v>1223</v>
      </c>
      <c r="C198" s="17" t="s">
        <v>1428</v>
      </c>
    </row>
    <row r="199" spans="1:3" ht="45" x14ac:dyDescent="0.25">
      <c r="A199" s="35" t="s">
        <v>1224</v>
      </c>
      <c r="C199" s="17" t="s">
        <v>1429</v>
      </c>
    </row>
    <row r="202" spans="1:3" s="36" customFormat="1" x14ac:dyDescent="0.25"/>
    <row r="203" spans="1:3" ht="60" x14ac:dyDescent="0.25">
      <c r="A203" s="36" t="s">
        <v>1194</v>
      </c>
      <c r="B203" t="s">
        <v>1205</v>
      </c>
      <c r="C203" s="17" t="s">
        <v>1432</v>
      </c>
    </row>
    <row r="204" spans="1:3" ht="30" x14ac:dyDescent="0.25">
      <c r="A204" s="35" t="s">
        <v>1430</v>
      </c>
      <c r="C204" s="17" t="s">
        <v>1433</v>
      </c>
    </row>
    <row r="205" spans="1:3" ht="30" x14ac:dyDescent="0.25">
      <c r="A205" s="35" t="s">
        <v>1431</v>
      </c>
      <c r="C205" s="17" t="s">
        <v>1434</v>
      </c>
    </row>
    <row r="206" spans="1:3" x14ac:dyDescent="0.25">
      <c r="A206" s="35"/>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43</v>
      </c>
      <c r="B1" t="s">
        <v>512</v>
      </c>
      <c r="C1" t="s">
        <v>45</v>
      </c>
      <c r="D1" t="s">
        <v>570</v>
      </c>
      <c r="E1" t="s">
        <v>586</v>
      </c>
      <c r="F1" t="s">
        <v>579</v>
      </c>
    </row>
    <row r="2" spans="1:7" x14ac:dyDescent="0.25">
      <c r="A2" t="s">
        <v>513</v>
      </c>
      <c r="C2" t="s">
        <v>514</v>
      </c>
      <c r="D2" s="15" t="s">
        <v>515</v>
      </c>
      <c r="E2" s="15" t="s">
        <v>516</v>
      </c>
    </row>
    <row r="3" spans="1:7" x14ac:dyDescent="0.25">
      <c r="A3" t="s">
        <v>1556</v>
      </c>
      <c r="D3" s="15"/>
      <c r="E3" s="15" t="s">
        <v>1557</v>
      </c>
      <c r="G3" t="s">
        <v>1558</v>
      </c>
    </row>
    <row r="4" spans="1:7" x14ac:dyDescent="0.25">
      <c r="A4" t="s">
        <v>517</v>
      </c>
      <c r="C4" t="s">
        <v>518</v>
      </c>
      <c r="D4" t="s">
        <v>519</v>
      </c>
      <c r="E4" t="s">
        <v>520</v>
      </c>
    </row>
    <row r="5" spans="1:7" x14ac:dyDescent="0.25">
      <c r="A5" s="14" t="s">
        <v>521</v>
      </c>
      <c r="C5" t="s">
        <v>522</v>
      </c>
      <c r="D5" t="s">
        <v>523</v>
      </c>
      <c r="E5" t="s">
        <v>524</v>
      </c>
    </row>
    <row r="6" spans="1:7" x14ac:dyDescent="0.25">
      <c r="A6" t="s">
        <v>525</v>
      </c>
    </row>
    <row r="7" spans="1:7" x14ac:dyDescent="0.25">
      <c r="A7" s="16" t="s">
        <v>526</v>
      </c>
      <c r="C7" t="s">
        <v>527</v>
      </c>
      <c r="D7" t="s">
        <v>528</v>
      </c>
      <c r="E7" s="15" t="s">
        <v>742</v>
      </c>
      <c r="F7" s="15" t="s">
        <v>580</v>
      </c>
      <c r="G7" t="s">
        <v>581</v>
      </c>
    </row>
    <row r="8" spans="1:7" x14ac:dyDescent="0.25">
      <c r="A8" s="16" t="s">
        <v>300</v>
      </c>
      <c r="C8" t="s">
        <v>529</v>
      </c>
      <c r="E8" s="15" t="s">
        <v>530</v>
      </c>
    </row>
    <row r="9" spans="1:7" x14ac:dyDescent="0.25">
      <c r="A9" t="s">
        <v>531</v>
      </c>
      <c r="C9" t="s">
        <v>569</v>
      </c>
      <c r="E9" s="18" t="s">
        <v>532</v>
      </c>
    </row>
    <row r="10" spans="1:7" x14ac:dyDescent="0.25">
      <c r="A10" t="s">
        <v>533</v>
      </c>
      <c r="C10" t="s">
        <v>534</v>
      </c>
      <c r="E10" s="15" t="s">
        <v>535</v>
      </c>
    </row>
    <row r="11" spans="1:7" x14ac:dyDescent="0.25">
      <c r="A11" s="14" t="s">
        <v>536</v>
      </c>
      <c r="C11" t="s">
        <v>537</v>
      </c>
      <c r="E11" s="15" t="s">
        <v>538</v>
      </c>
    </row>
    <row r="12" spans="1:7" x14ac:dyDescent="0.25">
      <c r="A12" s="14" t="s">
        <v>539</v>
      </c>
      <c r="D12" t="s">
        <v>540</v>
      </c>
    </row>
    <row r="13" spans="1:7" x14ac:dyDescent="0.25">
      <c r="A13" s="16" t="s">
        <v>541</v>
      </c>
      <c r="E13" s="15" t="s">
        <v>542</v>
      </c>
    </row>
    <row r="14" spans="1:7" x14ac:dyDescent="0.25">
      <c r="A14" t="s">
        <v>543</v>
      </c>
    </row>
    <row r="15" spans="1:7" x14ac:dyDescent="0.25">
      <c r="A15" t="s">
        <v>544</v>
      </c>
      <c r="E15" t="s">
        <v>545</v>
      </c>
    </row>
    <row r="16" spans="1:7" x14ac:dyDescent="0.25">
      <c r="A16" t="s">
        <v>546</v>
      </c>
      <c r="E16" t="s">
        <v>547</v>
      </c>
    </row>
    <row r="17" spans="1:5" x14ac:dyDescent="0.25">
      <c r="A17" t="s">
        <v>548</v>
      </c>
      <c r="C17" t="s">
        <v>549</v>
      </c>
    </row>
    <row r="18" spans="1:5" x14ac:dyDescent="0.25">
      <c r="A18" t="s">
        <v>550</v>
      </c>
      <c r="C18" t="s">
        <v>551</v>
      </c>
    </row>
    <row r="19" spans="1:5" x14ac:dyDescent="0.25">
      <c r="A19" t="s">
        <v>552</v>
      </c>
      <c r="E19" t="s">
        <v>553</v>
      </c>
    </row>
    <row r="20" spans="1:5" x14ac:dyDescent="0.25">
      <c r="A20" t="s">
        <v>554</v>
      </c>
    </row>
    <row r="21" spans="1:5" x14ac:dyDescent="0.25">
      <c r="A21" s="16" t="s">
        <v>555</v>
      </c>
      <c r="C21" t="s">
        <v>556</v>
      </c>
      <c r="E21" t="s">
        <v>557</v>
      </c>
    </row>
    <row r="22" spans="1:5" x14ac:dyDescent="0.25">
      <c r="A22" t="s">
        <v>558</v>
      </c>
    </row>
    <row r="23" spans="1:5" x14ac:dyDescent="0.25">
      <c r="A23" t="s">
        <v>559</v>
      </c>
    </row>
    <row r="24" spans="1:5" x14ac:dyDescent="0.25">
      <c r="A24" t="s">
        <v>560</v>
      </c>
      <c r="E24" s="15" t="s">
        <v>1567</v>
      </c>
    </row>
    <row r="25" spans="1:5" x14ac:dyDescent="0.25">
      <c r="A25" t="s">
        <v>561</v>
      </c>
      <c r="C25" t="s">
        <v>562</v>
      </c>
      <c r="E25" t="s">
        <v>563</v>
      </c>
    </row>
    <row r="26" spans="1:5" x14ac:dyDescent="0.25">
      <c r="A26" t="s">
        <v>492</v>
      </c>
      <c r="E26" s="19" t="s">
        <v>588</v>
      </c>
    </row>
    <row r="27" spans="1:5" x14ac:dyDescent="0.25">
      <c r="A27" t="s">
        <v>564</v>
      </c>
      <c r="E27" s="15" t="s">
        <v>565</v>
      </c>
    </row>
    <row r="28" spans="1:5" x14ac:dyDescent="0.25">
      <c r="A28" t="s">
        <v>566</v>
      </c>
      <c r="C28" t="s">
        <v>567</v>
      </c>
      <c r="E28" t="s">
        <v>568</v>
      </c>
    </row>
    <row r="29" spans="1:5" x14ac:dyDescent="0.25">
      <c r="A29" t="s">
        <v>587</v>
      </c>
      <c r="B29" t="s">
        <v>573</v>
      </c>
      <c r="E29" s="19" t="s">
        <v>589</v>
      </c>
    </row>
    <row r="30" spans="1:5" x14ac:dyDescent="0.25">
      <c r="A30" t="s">
        <v>630</v>
      </c>
      <c r="D30" t="s">
        <v>632</v>
      </c>
      <c r="E30" t="s">
        <v>631</v>
      </c>
    </row>
    <row r="31" spans="1:5" x14ac:dyDescent="0.25">
      <c r="A31" t="s">
        <v>727</v>
      </c>
      <c r="E31" t="s">
        <v>728</v>
      </c>
    </row>
    <row r="32" spans="1:5" x14ac:dyDescent="0.25">
      <c r="A32" t="s">
        <v>738</v>
      </c>
      <c r="E32" s="15" t="s">
        <v>741</v>
      </c>
    </row>
    <row r="33" spans="1:5" x14ac:dyDescent="0.25">
      <c r="A33" t="s">
        <v>739</v>
      </c>
      <c r="E33" t="s">
        <v>740</v>
      </c>
    </row>
    <row r="34" spans="1:5" x14ac:dyDescent="0.25">
      <c r="A34" t="s">
        <v>766</v>
      </c>
      <c r="C34" t="s">
        <v>1174</v>
      </c>
      <c r="E34" t="s">
        <v>1173</v>
      </c>
    </row>
    <row r="35" spans="1:5" x14ac:dyDescent="0.25">
      <c r="A35" t="s">
        <v>1161</v>
      </c>
      <c r="C35" t="s">
        <v>1162</v>
      </c>
    </row>
    <row r="36" spans="1:5" x14ac:dyDescent="0.25">
      <c r="A36" t="s">
        <v>1170</v>
      </c>
      <c r="D36" t="s">
        <v>1171</v>
      </c>
      <c r="E36" t="s">
        <v>1172</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Overview</vt:lpstr>
      <vt:lpstr>Other</vt:lpstr>
      <vt:lpstr>CaseStudy_Hydrogenation</vt:lpstr>
      <vt:lpstr>Context Hydrogenation</vt:lpstr>
      <vt:lpstr>CaseStudy_ZnO</vt:lpstr>
      <vt:lpstr>Entity_Templates</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2026-08-18T17:00:05Z</dcterms:modified>
</cp:coreProperties>
</file>